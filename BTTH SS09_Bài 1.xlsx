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I\Downloads\"/>
    </mc:Choice>
  </mc:AlternateContent>
  <xr:revisionPtr revIDLastSave="0" documentId="13_ncr:1_{888107CA-F814-48C9-983F-6366D0676604}" xr6:coauthVersionLast="47" xr6:coauthVersionMax="47" xr10:uidLastSave="{00000000-0000-0000-0000-000000000000}"/>
  <bookViews>
    <workbookView xWindow="-120" yWindow="-120" windowWidth="20730" windowHeight="11040" activeTab="1" xr2:uid="{00000000-000D-0000-FFFF-FFFF00000000}"/>
  </bookViews>
  <sheets>
    <sheet name="Sheet2" sheetId="2" r:id="rId1"/>
    <sheet name="Sheet1" sheetId="1" r:id="rId2"/>
  </sheets>
  <definedNames>
    <definedName name="Slicer_Ngày_bán">#N/A</definedName>
  </definedNames>
  <calcPr calcId="191029"/>
  <pivotCaches>
    <pivotCache cacheId="1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M4" i="1"/>
  <c r="M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alcChain>
</file>

<file path=xl/sharedStrings.xml><?xml version="1.0" encoding="utf-8"?>
<sst xmlns="http://schemas.openxmlformats.org/spreadsheetml/2006/main" count="1028" uniqueCount="325">
  <si>
    <t>Số lượng</t>
  </si>
  <si>
    <t>Đơn giá</t>
  </si>
  <si>
    <t>Chi nhánh</t>
  </si>
  <si>
    <t>Nhân viên</t>
  </si>
  <si>
    <t>Ngày bán</t>
  </si>
  <si>
    <t>Cầu Giấy</t>
  </si>
  <si>
    <t>Nguyễn Văn A</t>
  </si>
  <si>
    <t>Hoàn Kiếm</t>
  </si>
  <si>
    <t>Trần Thị B</t>
  </si>
  <si>
    <t>Ba Đình</t>
  </si>
  <si>
    <t>Lê Văn C</t>
  </si>
  <si>
    <t>Phạm Văn D</t>
  </si>
  <si>
    <t xml:space="preserve">[TXN001] </t>
  </si>
  <si>
    <t xml:space="preserve">[TXN003] </t>
  </si>
  <si>
    <t xml:space="preserve">[TXN004] </t>
  </si>
  <si>
    <t xml:space="preserve">[TXN006] </t>
  </si>
  <si>
    <t xml:space="preserve">[TXN007] </t>
  </si>
  <si>
    <t xml:space="preserve">[TXN008] </t>
  </si>
  <si>
    <t xml:space="preserve">[TXN010] </t>
  </si>
  <si>
    <t xml:space="preserve">[TXN011] </t>
  </si>
  <si>
    <t xml:space="preserve">[TXN012] </t>
  </si>
  <si>
    <t xml:space="preserve">[TXN013] </t>
  </si>
  <si>
    <t xml:space="preserve">[TXN015] </t>
  </si>
  <si>
    <t xml:space="preserve">[TXN016] </t>
  </si>
  <si>
    <t xml:space="preserve">[TXN017] </t>
  </si>
  <si>
    <t xml:space="preserve">[TXN018] </t>
  </si>
  <si>
    <t xml:space="preserve">[TXN019] </t>
  </si>
  <si>
    <t xml:space="preserve">[TXN021] </t>
  </si>
  <si>
    <t xml:space="preserve">[TXN022] </t>
  </si>
  <si>
    <t xml:space="preserve">[TXN023] </t>
  </si>
  <si>
    <t xml:space="preserve">[TXN024] </t>
  </si>
  <si>
    <t xml:space="preserve">[TXN025] </t>
  </si>
  <si>
    <t xml:space="preserve">[TXN027] </t>
  </si>
  <si>
    <t xml:space="preserve">[TXN028] </t>
  </si>
  <si>
    <t xml:space="preserve">[TXN029] </t>
  </si>
  <si>
    <t xml:space="preserve">[TXN030] </t>
  </si>
  <si>
    <t xml:space="preserve">[TXN031] </t>
  </si>
  <si>
    <t xml:space="preserve">[TXN033] </t>
  </si>
  <si>
    <t xml:space="preserve">[TXN034] </t>
  </si>
  <si>
    <t xml:space="preserve">[TXN035] </t>
  </si>
  <si>
    <t xml:space="preserve">[TXN036] </t>
  </si>
  <si>
    <t xml:space="preserve">[TXN037] </t>
  </si>
  <si>
    <t xml:space="preserve">[TXN039] </t>
  </si>
  <si>
    <t xml:space="preserve">[TXN040] </t>
  </si>
  <si>
    <t xml:space="preserve">[TXN041] </t>
  </si>
  <si>
    <t xml:space="preserve">[TXN042] </t>
  </si>
  <si>
    <t xml:space="preserve">[TXN043] </t>
  </si>
  <si>
    <t xml:space="preserve">[TXN045] </t>
  </si>
  <si>
    <t xml:space="preserve">[TXN046] </t>
  </si>
  <si>
    <t xml:space="preserve">[TXN047] </t>
  </si>
  <si>
    <t xml:space="preserve">[TXN048] </t>
  </si>
  <si>
    <t xml:space="preserve">[TXN049] </t>
  </si>
  <si>
    <t xml:space="preserve">[TXN051] </t>
  </si>
  <si>
    <t xml:space="preserve">[TXN052] </t>
  </si>
  <si>
    <t xml:space="preserve">[TXN053] </t>
  </si>
  <si>
    <t xml:space="preserve">[TXN054] </t>
  </si>
  <si>
    <t xml:space="preserve">[TXN055] </t>
  </si>
  <si>
    <t xml:space="preserve">[TXN057] </t>
  </si>
  <si>
    <t xml:space="preserve">[TXN058] </t>
  </si>
  <si>
    <t xml:space="preserve">[TXN059] </t>
  </si>
  <si>
    <t xml:space="preserve">[TXN060] </t>
  </si>
  <si>
    <t xml:space="preserve">[TXN061] </t>
  </si>
  <si>
    <t xml:space="preserve">[TXN062] </t>
  </si>
  <si>
    <t xml:space="preserve">[TXN063] </t>
  </si>
  <si>
    <t xml:space="preserve">[TXN065] </t>
  </si>
  <si>
    <t xml:space="preserve">[TXN066] </t>
  </si>
  <si>
    <t xml:space="preserve">[TXN067] </t>
  </si>
  <si>
    <t xml:space="preserve">[TXN068] </t>
  </si>
  <si>
    <t xml:space="preserve">[TXN070] </t>
  </si>
  <si>
    <t xml:space="preserve">[TXN071] </t>
  </si>
  <si>
    <t xml:space="preserve">[TXN072] </t>
  </si>
  <si>
    <t xml:space="preserve">[TXN073] </t>
  </si>
  <si>
    <t xml:space="preserve">[TXN075] </t>
  </si>
  <si>
    <t xml:space="preserve">[TXN076] </t>
  </si>
  <si>
    <t xml:space="preserve">[TXN077] </t>
  </si>
  <si>
    <t xml:space="preserve">[TXN078] </t>
  </si>
  <si>
    <t xml:space="preserve">[TXN080] </t>
  </si>
  <si>
    <t xml:space="preserve">[TXN081] </t>
  </si>
  <si>
    <t xml:space="preserve">[TXN082] </t>
  </si>
  <si>
    <t xml:space="preserve">[TXN083] </t>
  </si>
  <si>
    <t xml:space="preserve">[TXN085] </t>
  </si>
  <si>
    <t xml:space="preserve">[TXN086] </t>
  </si>
  <si>
    <t xml:space="preserve">[TXN087] </t>
  </si>
  <si>
    <t xml:space="preserve">[TXN088] </t>
  </si>
  <si>
    <t xml:space="preserve">[TXN089] </t>
  </si>
  <si>
    <t xml:space="preserve">[TXN091] </t>
  </si>
  <si>
    <t xml:space="preserve">[TXN092] </t>
  </si>
  <si>
    <t xml:space="preserve">[TXN093] </t>
  </si>
  <si>
    <t xml:space="preserve">[TXN094] </t>
  </si>
  <si>
    <t xml:space="preserve">[TXN095] </t>
  </si>
  <si>
    <t xml:space="preserve">[TXN097] </t>
  </si>
  <si>
    <t xml:space="preserve">[TXN098] </t>
  </si>
  <si>
    <t xml:space="preserve">[TXN099] </t>
  </si>
  <si>
    <t xml:space="preserve">[TXN100] </t>
  </si>
  <si>
    <t xml:space="preserve">[TXN101] </t>
  </si>
  <si>
    <t xml:space="preserve">[TXN103] </t>
  </si>
  <si>
    <t xml:space="preserve">[TXN104] </t>
  </si>
  <si>
    <t xml:space="preserve">[TXN105] </t>
  </si>
  <si>
    <t xml:space="preserve">[TXN106] </t>
  </si>
  <si>
    <t xml:space="preserve">[TXN107] </t>
  </si>
  <si>
    <t xml:space="preserve">[TXN109] </t>
  </si>
  <si>
    <t xml:space="preserve">[TXN110] </t>
  </si>
  <si>
    <t xml:space="preserve">[TXN111] </t>
  </si>
  <si>
    <t xml:space="preserve">[TXN112] </t>
  </si>
  <si>
    <t xml:space="preserve">[TXN113] </t>
  </si>
  <si>
    <t xml:space="preserve">[TXN115] </t>
  </si>
  <si>
    <t xml:space="preserve">[TXN116] </t>
  </si>
  <si>
    <t xml:space="preserve">[TXN117] </t>
  </si>
  <si>
    <t xml:space="preserve">[TXN118] </t>
  </si>
  <si>
    <t xml:space="preserve">[TXN119] </t>
  </si>
  <si>
    <t xml:space="preserve">[TXN121] </t>
  </si>
  <si>
    <t xml:space="preserve">[TXN122] </t>
  </si>
  <si>
    <t xml:space="preserve">[TXN123] </t>
  </si>
  <si>
    <t xml:space="preserve">[TXN124] </t>
  </si>
  <si>
    <t xml:space="preserve">[TXN125] </t>
  </si>
  <si>
    <t xml:space="preserve">[TXN126] </t>
  </si>
  <si>
    <t xml:space="preserve">[TXN127] </t>
  </si>
  <si>
    <t xml:space="preserve">[TXN128] </t>
  </si>
  <si>
    <t xml:space="preserve">[TXN129] </t>
  </si>
  <si>
    <t xml:space="preserve">[TXN130] </t>
  </si>
  <si>
    <t xml:space="preserve">[TXN131] </t>
  </si>
  <si>
    <t xml:space="preserve">[TXN132] </t>
  </si>
  <si>
    <t xml:space="preserve">[TXN133] </t>
  </si>
  <si>
    <t xml:space="preserve">[TXN134] </t>
  </si>
  <si>
    <t xml:space="preserve">[TXN135] </t>
  </si>
  <si>
    <t xml:space="preserve">[TXN136] </t>
  </si>
  <si>
    <t xml:space="preserve">[TXN137] </t>
  </si>
  <si>
    <t xml:space="preserve">[TXN138] </t>
  </si>
  <si>
    <t xml:space="preserve">[TXN139] </t>
  </si>
  <si>
    <t xml:space="preserve">[TXN140] </t>
  </si>
  <si>
    <t xml:space="preserve">[TXN141] </t>
  </si>
  <si>
    <t xml:space="preserve">[TXN142] </t>
  </si>
  <si>
    <t xml:space="preserve">[TXN143] </t>
  </si>
  <si>
    <t xml:space="preserve">[TXN144] </t>
  </si>
  <si>
    <t xml:space="preserve">[TXN145] </t>
  </si>
  <si>
    <t xml:space="preserve">[TXN146] </t>
  </si>
  <si>
    <t xml:space="preserve">[TXN147] </t>
  </si>
  <si>
    <t xml:space="preserve">[TXN148] </t>
  </si>
  <si>
    <t xml:space="preserve">[TXN149] </t>
  </si>
  <si>
    <t xml:space="preserve">[TXN150] </t>
  </si>
  <si>
    <t xml:space="preserve">[TXN151] </t>
  </si>
  <si>
    <t xml:space="preserve">[TXN152] </t>
  </si>
  <si>
    <t xml:space="preserve">[TXN153] </t>
  </si>
  <si>
    <t xml:space="preserve">[TXN154] </t>
  </si>
  <si>
    <t xml:space="preserve">[TXN155] </t>
  </si>
  <si>
    <t xml:space="preserve">[TXN156] </t>
  </si>
  <si>
    <t xml:space="preserve">[TXN157] </t>
  </si>
  <si>
    <t xml:space="preserve">[TXN158] </t>
  </si>
  <si>
    <t xml:space="preserve">[TXN159] </t>
  </si>
  <si>
    <t xml:space="preserve">[TXN160] </t>
  </si>
  <si>
    <t xml:space="preserve">[TXN161] </t>
  </si>
  <si>
    <t xml:space="preserve">[TXN162] </t>
  </si>
  <si>
    <t xml:space="preserve">[TXN163] </t>
  </si>
  <si>
    <t xml:space="preserve">[TXN164] </t>
  </si>
  <si>
    <t xml:space="preserve">[TXN165] </t>
  </si>
  <si>
    <t xml:space="preserve">[TXN166] </t>
  </si>
  <si>
    <t xml:space="preserve">[TXN167] </t>
  </si>
  <si>
    <t xml:space="preserve">[TXN168] </t>
  </si>
  <si>
    <t xml:space="preserve">[TXN169] </t>
  </si>
  <si>
    <t xml:space="preserve">[TXN170] </t>
  </si>
  <si>
    <t xml:space="preserve">[TXN171] </t>
  </si>
  <si>
    <t xml:space="preserve">[TXN172] </t>
  </si>
  <si>
    <t xml:space="preserve">[TXN173] </t>
  </si>
  <si>
    <t xml:space="preserve">[TXN174] </t>
  </si>
  <si>
    <t xml:space="preserve">[TXN175] </t>
  </si>
  <si>
    <t xml:space="preserve">[TXN176] </t>
  </si>
  <si>
    <t xml:space="preserve">[TXN177] </t>
  </si>
  <si>
    <t xml:space="preserve">[TXN178] </t>
  </si>
  <si>
    <t xml:space="preserve">[TXN179] </t>
  </si>
  <si>
    <t xml:space="preserve">[TXN180] </t>
  </si>
  <si>
    <t xml:space="preserve">[TXN181] </t>
  </si>
  <si>
    <t xml:space="preserve">[TXN182] </t>
  </si>
  <si>
    <t xml:space="preserve">[TXN183] </t>
  </si>
  <si>
    <t xml:space="preserve">[TXN184] </t>
  </si>
  <si>
    <t xml:space="preserve">[TXN185] </t>
  </si>
  <si>
    <t xml:space="preserve">[TXN186] </t>
  </si>
  <si>
    <t xml:space="preserve">[TXN187] </t>
  </si>
  <si>
    <t xml:space="preserve">[TXN188] </t>
  </si>
  <si>
    <t xml:space="preserve">[TXN189] </t>
  </si>
  <si>
    <t xml:space="preserve">[TXN190] </t>
  </si>
  <si>
    <t xml:space="preserve">[TXN191] </t>
  </si>
  <si>
    <t xml:space="preserve">[TXN192] </t>
  </si>
  <si>
    <t xml:space="preserve">[TXN193] </t>
  </si>
  <si>
    <t xml:space="preserve">[TXN194] </t>
  </si>
  <si>
    <t xml:space="preserve">[TXN195] </t>
  </si>
  <si>
    <t xml:space="preserve">[TXN196] </t>
  </si>
  <si>
    <t xml:space="preserve">[TXN197] </t>
  </si>
  <si>
    <t xml:space="preserve">[TXN198] </t>
  </si>
  <si>
    <t xml:space="preserve">[TXN199] </t>
  </si>
  <si>
    <t xml:space="preserve">[TXN200] </t>
  </si>
  <si>
    <t xml:space="preserve">[TXN201] </t>
  </si>
  <si>
    <t xml:space="preserve">[TXN202] </t>
  </si>
  <si>
    <t xml:space="preserve">[TXN203] </t>
  </si>
  <si>
    <t xml:space="preserve">[TXN204] </t>
  </si>
  <si>
    <t xml:space="preserve">[TXN205] </t>
  </si>
  <si>
    <t xml:space="preserve">[TXN206] </t>
  </si>
  <si>
    <t xml:space="preserve">[TXN207] </t>
  </si>
  <si>
    <t xml:space="preserve">[TXN208] </t>
  </si>
  <si>
    <t xml:space="preserve">[TXN209] </t>
  </si>
  <si>
    <t xml:space="preserve">[TXN210] </t>
  </si>
  <si>
    <t xml:space="preserve">[TXN211] </t>
  </si>
  <si>
    <t xml:space="preserve">[TXN212] </t>
  </si>
  <si>
    <t xml:space="preserve">[TXN213] </t>
  </si>
  <si>
    <t xml:space="preserve">[TXN214] </t>
  </si>
  <si>
    <t xml:space="preserve">[TXN215] </t>
  </si>
  <si>
    <t xml:space="preserve">[TXN216] </t>
  </si>
  <si>
    <t xml:space="preserve">[TXN217] </t>
  </si>
  <si>
    <t xml:space="preserve">[TXN218] </t>
  </si>
  <si>
    <t xml:space="preserve">[TXN219] </t>
  </si>
  <si>
    <t xml:space="preserve">[TXN220] </t>
  </si>
  <si>
    <t xml:space="preserve">[TXN221] </t>
  </si>
  <si>
    <t xml:space="preserve">[TXN222] </t>
  </si>
  <si>
    <t>Mã Giao Dịch</t>
  </si>
  <si>
    <t xml:space="preserve">Tên Món </t>
  </si>
  <si>
    <t xml:space="preserve"> Bạc xỉu </t>
  </si>
  <si>
    <t xml:space="preserve"> Sinh tố bơ </t>
  </si>
  <si>
    <t xml:space="preserve"> Cà phê đen </t>
  </si>
  <si>
    <t xml:space="preserve"> Trà sữa </t>
  </si>
  <si>
    <t xml:space="preserve"> Nước cam </t>
  </si>
  <si>
    <t xml:space="preserve"> Ép thơm </t>
  </si>
  <si>
    <t xml:space="preserve"> Cà phê sữa </t>
  </si>
  <si>
    <t xml:space="preserve"> Trà vải </t>
  </si>
  <si>
    <t xml:space="preserve"> Sinh tố xoài </t>
  </si>
  <si>
    <t xml:space="preserve"> Latte </t>
  </si>
  <si>
    <t xml:space="preserve"> Mocha </t>
  </si>
  <si>
    <t xml:space="preserve"> Trà lài </t>
  </si>
  <si>
    <t xml:space="preserve"> Ép bưởi </t>
  </si>
  <si>
    <t xml:space="preserve"> Trà đào </t>
  </si>
  <si>
    <t xml:space="preserve"> Sinh tố dâu </t>
  </si>
  <si>
    <t xml:space="preserve"> Nước chanh </t>
  </si>
  <si>
    <t xml:space="preserve"> Ép táo </t>
  </si>
  <si>
    <t xml:space="preserve"> Trà thạch vải </t>
  </si>
  <si>
    <t xml:space="preserve"> Sinh tố sapoche </t>
  </si>
  <si>
    <t xml:space="preserve"> Cappuccino </t>
  </si>
  <si>
    <t xml:space="preserve"> Trà xanh </t>
  </si>
  <si>
    <t xml:space="preserve"> Ép cà rốt </t>
  </si>
  <si>
    <t xml:space="preserve"> Espresso </t>
  </si>
  <si>
    <t xml:space="preserve"> Trà đào cam sả </t>
  </si>
  <si>
    <t xml:space="preserve"> Sinh tố mãng cầu </t>
  </si>
  <si>
    <t xml:space="preserve"> Americano </t>
  </si>
  <si>
    <t xml:space="preserve"> Nước chanh dây </t>
  </si>
  <si>
    <t xml:space="preserve"> Trà sữa thái xanh </t>
  </si>
  <si>
    <t xml:space="preserve"> Cà phê cốt dừa </t>
  </si>
  <si>
    <t xml:space="preserve"> Ép dưa hấu </t>
  </si>
  <si>
    <t xml:space="preserve"> Sinh tố thanh long </t>
  </si>
  <si>
    <t xml:space="preserve"> Trà gừng </t>
  </si>
  <si>
    <t xml:space="preserve"> Bạc xỉu nóng </t>
  </si>
  <si>
    <t xml:space="preserve"> Trà ô long </t>
  </si>
  <si>
    <t xml:space="preserve"> Ép ổi </t>
  </si>
  <si>
    <t xml:space="preserve"> Cà phê trứng </t>
  </si>
  <si>
    <t xml:space="preserve"> Sinh tố sầu riêng </t>
  </si>
  <si>
    <t xml:space="preserve"> Trà hoa cúc </t>
  </si>
  <si>
    <t xml:space="preserve"> Nước khoáng </t>
  </si>
  <si>
    <t xml:space="preserve"> Cà phê muối </t>
  </si>
  <si>
    <t xml:space="preserve"> Ép lựu </t>
  </si>
  <si>
    <t xml:space="preserve"> Trà chanh </t>
  </si>
  <si>
    <t xml:space="preserve"> Sinh tố việt quất </t>
  </si>
  <si>
    <t xml:space="preserve"> Cold Brew </t>
  </si>
  <si>
    <t xml:space="preserve"> Trà sen </t>
  </si>
  <si>
    <t xml:space="preserve"> Ép dâu tây </t>
  </si>
  <si>
    <t xml:space="preserve"> Cà phê sữa đá </t>
  </si>
  <si>
    <t xml:space="preserve"> Trà sữa trân châu </t>
  </si>
  <si>
    <t xml:space="preserve"> Sinh tố dưa bở </t>
  </si>
  <si>
    <t xml:space="preserve"> Macchiato </t>
  </si>
  <si>
    <t xml:space="preserve"> Trà xanh mật ong </t>
  </si>
  <si>
    <t xml:space="preserve"> Nước mía </t>
  </si>
  <si>
    <t xml:space="preserve"> Cà phê Arabica </t>
  </si>
  <si>
    <t xml:space="preserve"> Trà thảo mộc </t>
  </si>
  <si>
    <t xml:space="preserve"> Ép khế </t>
  </si>
  <si>
    <t xml:space="preserve"> Sinh tố kiwi </t>
  </si>
  <si>
    <t xml:space="preserve"> Cà phê Moka </t>
  </si>
  <si>
    <t xml:space="preserve"> Trà nhãn </t>
  </si>
  <si>
    <t xml:space="preserve"> Ép chanh leo </t>
  </si>
  <si>
    <t xml:space="preserve"> Bạc xỉu cốt dừa </t>
  </si>
  <si>
    <t xml:space="preserve"> Sinh tố mít </t>
  </si>
  <si>
    <t xml:space="preserve"> Cà phê đen nóng </t>
  </si>
  <si>
    <t xml:space="preserve"> Trà vải kem cheese </t>
  </si>
  <si>
    <t xml:space="preserve"> Sinh tố chuối </t>
  </si>
  <si>
    <t xml:space="preserve"> Espresso Doppio </t>
  </si>
  <si>
    <t xml:space="preserve"> Trà lài sữa </t>
  </si>
  <si>
    <t xml:space="preserve"> Ép cà chua </t>
  </si>
  <si>
    <t xml:space="preserve"> Cà phê sữa nóng </t>
  </si>
  <si>
    <t xml:space="preserve"> Trà Earl Grey </t>
  </si>
  <si>
    <t xml:space="preserve"> Latte nóng </t>
  </si>
  <si>
    <t xml:space="preserve"> Trà sữa thái đỏ </t>
  </si>
  <si>
    <t xml:space="preserve"> Ép dứa </t>
  </si>
  <si>
    <t xml:space="preserve"> Cà phê đen đá </t>
  </si>
  <si>
    <t xml:space="preserve"> Trà lài hạt sen </t>
  </si>
  <si>
    <t xml:space="preserve"> Mocha đá </t>
  </si>
  <si>
    <t xml:space="preserve"> Ép bưởi hồng </t>
  </si>
  <si>
    <t xml:space="preserve"> Cappuccino nóng </t>
  </si>
  <si>
    <t xml:space="preserve"> Sinh tố dâu tây </t>
  </si>
  <si>
    <t xml:space="preserve"> Ép chanh dây </t>
  </si>
  <si>
    <t xml:space="preserve"> Nước cam ép </t>
  </si>
  <si>
    <t xml:space="preserve"> Trà chanh dây </t>
  </si>
  <si>
    <t xml:space="preserve"> Trà sen vàng </t>
  </si>
  <si>
    <t xml:space="preserve"> Bạc xỉu đá </t>
  </si>
  <si>
    <t xml:space="preserve"> Ép táo xanh </t>
  </si>
  <si>
    <t xml:space="preserve"> Americano đá </t>
  </si>
  <si>
    <t xml:space="preserve"> Trà gừng mật ong </t>
  </si>
  <si>
    <t xml:space="preserve"> Cà phê sữa tươi </t>
  </si>
  <si>
    <t xml:space="preserve"> Ép ổi xá lị </t>
  </si>
  <si>
    <t xml:space="preserve"> Cold Brew cam sả </t>
  </si>
  <si>
    <t xml:space="preserve"> Trà xanh lài </t>
  </si>
  <si>
    <t xml:space="preserve"> Latte Matcha </t>
  </si>
  <si>
    <t xml:space="preserve"> Trà túi lọc </t>
  </si>
  <si>
    <t xml:space="preserve"> Ép lựu đỏ </t>
  </si>
  <si>
    <t xml:space="preserve"> Cà phê trứng nóng </t>
  </si>
  <si>
    <t xml:space="preserve"> Sinh tố xoài dứa </t>
  </si>
  <si>
    <t>Nhóm Món</t>
  </si>
  <si>
    <t>Cà phê</t>
  </si>
  <si>
    <t>Sinh tố</t>
  </si>
  <si>
    <t>Trà</t>
  </si>
  <si>
    <t>Nước ép</t>
  </si>
  <si>
    <t>Nước đóng chai</t>
  </si>
  <si>
    <t>Doanh Thu</t>
  </si>
  <si>
    <t>Loại Đơn</t>
  </si>
  <si>
    <t>Row Labels</t>
  </si>
  <si>
    <t>Grand Total</t>
  </si>
  <si>
    <t>Sum of Doanh Thu</t>
  </si>
  <si>
    <t>Column Labels</t>
  </si>
  <si>
    <t>(All)</t>
  </si>
  <si>
    <t>Task 6</t>
  </si>
  <si>
    <t>Task 7</t>
  </si>
  <si>
    <t>Task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</si>
</sst>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5" x14ac:knownFonts="1">
    <font>
      <sz val="10"/>
      <color rgb="FF000000"/>
      <name val="Arial"/>
      <scheme val="minor"/>
    </font>
    <font>
      <b/>
      <sz val="10"/>
      <color theme="1"/>
      <name val="Arial"/>
      <scheme val="minor"/>
    </font>
    <font>
      <sz val="10"/>
      <color theme="1"/>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0" borderId="0" xfId="0" applyFont="1"/>
    <xf numFmtId="164" fontId="1" fillId="0" borderId="0" xfId="0" applyNumberFormat="1" applyFont="1" applyAlignment="1">
      <alignment horizontal="center"/>
    </xf>
    <xf numFmtId="164" fontId="2" fillId="0" borderId="0" xfId="0" applyNumberFormat="1" applyFont="1"/>
    <xf numFmtId="164" fontId="0" fillId="0" borderId="0" xfId="0" applyNumberFormat="1"/>
    <xf numFmtId="0" fontId="3" fillId="0" borderId="0" xfId="0" applyFont="1" applyAlignment="1">
      <alignment horizontal="center"/>
    </xf>
    <xf numFmtId="0" fontId="4"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11</xdr:col>
      <xdr:colOff>0</xdr:colOff>
      <xdr:row>15</xdr:row>
      <xdr:rowOff>114300</xdr:rowOff>
    </xdr:to>
    <mc:AlternateContent xmlns:mc="http://schemas.openxmlformats.org/markup-compatibility/2006">
      <mc:Choice xmlns:a14="http://schemas.microsoft.com/office/drawing/2010/main" Requires="a14">
        <xdr:graphicFrame macro="">
          <xdr:nvGraphicFramePr>
            <xdr:cNvPr id="2" name="Ngày bán">
              <a:extLst>
                <a:ext uri="{FF2B5EF4-FFF2-40B4-BE49-F238E27FC236}">
                  <a16:creationId xmlns:a16="http://schemas.microsoft.com/office/drawing/2014/main" id="{5285A5EF-D51D-2387-9A81-BE969EBE71F0}"/>
                </a:ext>
              </a:extLst>
            </xdr:cNvPr>
            <xdr:cNvGraphicFramePr/>
          </xdr:nvGraphicFramePr>
          <xdr:xfrm>
            <a:off x="0" y="0"/>
            <a:ext cx="0" cy="0"/>
          </xdr:xfrm>
          <a:graphic>
            <a:graphicData uri="http://schemas.microsoft.com/office/drawing/2010/slicer">
              <sle:slicer xmlns:sle="http://schemas.microsoft.com/office/drawing/2010/slicer" name="Ngày bán"/>
            </a:graphicData>
          </a:graphic>
        </xdr:graphicFrame>
      </mc:Choice>
      <mc:Fallback>
        <xdr:sp macro="" textlink="">
          <xdr:nvSpPr>
            <xdr:cNvPr id="0" name=""/>
            <xdr:cNvSpPr>
              <a:spLocks noTextEdit="1"/>
            </xdr:cNvSpPr>
          </xdr:nvSpPr>
          <xdr:spPr>
            <a:xfrm>
              <a:off x="6419850" y="1619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45.368855208333" createdVersion="8" refreshedVersion="8" minRefreshableVersion="3" recordCount="200" xr:uid="{C66AEC5A-3A9B-42CF-96E0-4F999BD08852}">
  <cacheSource type="worksheet">
    <worksheetSource ref="A1:J201" sheet="Sheet1"/>
  </cacheSource>
  <cacheFields count="10">
    <cacheField name="Mã Giao Dịch" numFmtId="0">
      <sharedItems/>
    </cacheField>
    <cacheField name="Tên Món " numFmtId="0">
      <sharedItems/>
    </cacheField>
    <cacheField name="Nhóm Món" numFmtId="0">
      <sharedItems count="5">
        <s v="Cà phê"/>
        <s v="Sinh tố"/>
        <s v="Trà"/>
        <s v="Nước ép"/>
        <s v="Nước đóng chai"/>
      </sharedItems>
    </cacheField>
    <cacheField name="Số lượng" numFmtId="0">
      <sharedItems containsSemiMixedTypes="0" containsString="0" containsNumber="1" containsInteger="1" minValue="1" maxValue="10"/>
    </cacheField>
    <cacheField name="Đơn giá" numFmtId="0">
      <sharedItems containsSemiMixedTypes="0" containsString="0" containsNumber="1" containsInteger="1" minValue="10000" maxValue="65000"/>
    </cacheField>
    <cacheField name="Doanh Thu" numFmtId="0">
      <sharedItems containsSemiMixedTypes="0" containsString="0" containsNumber="1" containsInteger="1" minValue="25000" maxValue="275000"/>
    </cacheField>
    <cacheField name="Loại Đơn" numFmtId="0">
      <sharedItems/>
    </cacheField>
    <cacheField name="Chi nhánh" numFmtId="0">
      <sharedItems count="3">
        <s v="Cầu Giấy"/>
        <s v="Hoàn Kiếm"/>
        <s v="Ba Đình"/>
      </sharedItems>
    </cacheField>
    <cacheField name="Nhân viên" numFmtId="0">
      <sharedItems count="4">
        <s v="Nguyễn Văn A"/>
        <s v="Trần Thị B"/>
        <s v="Lê Văn C"/>
        <s v="Phạm Văn D"/>
      </sharedItems>
    </cacheField>
    <cacheField name="Ngày bán" numFmtId="164">
      <sharedItems containsSemiMixedTypes="0" containsNonDate="0" containsDate="1" containsString="0" minDate="2023-01-12T00:00:00" maxDate="2024-12-05T00:00:00" count="198">
        <d v="2023-10-01T00:00:00"/>
        <d v="2023-02-10T00:00:00"/>
        <d v="2023-03-10T00:00:00"/>
        <d v="2023-10-04T00:00:00"/>
        <d v="2023-05-10T00:00:00"/>
        <d v="2023-06-10T00:00:00"/>
        <d v="2023-10-07T00:00:00"/>
        <d v="2023-08-10T00:00:00"/>
        <d v="2023-10-09T00:00:00"/>
        <d v="2023-10-10T00:00:00"/>
        <d v="2023-10-11T00:00:00"/>
        <d v="2023-12-10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02-11T00:00:00"/>
        <d v="2023-03-11T00:00:00"/>
        <d v="2023-11-04T00:00:00"/>
        <d v="2023-05-11T00:00:00"/>
        <d v="2023-06-11T00:00:00"/>
        <d v="2023-11-07T00:00:00"/>
        <d v="2023-08-11T00:00:00"/>
        <d v="2023-09-11T00:00:00"/>
        <d v="2023-11-10T00:00:00"/>
        <d v="2023-11-11T00:00:00"/>
        <d v="2023-12-11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01-12T00:00:00"/>
        <d v="2023-12-02T00:00:00"/>
        <d v="2023-03-12T00:00:00"/>
        <d v="2023-04-12T00:00:00"/>
        <d v="2023-12-05T00:00:00"/>
        <d v="2023-06-12T00:00:00"/>
        <d v="2023-07-12T00:00:00"/>
        <d v="2023-12-08T00:00:00"/>
        <d v="2023-09-12T00:00:00"/>
        <d v="2023-10-12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2-01T00:00:00"/>
        <d v="2024-03-01T00:00:00"/>
        <d v="2024-01-04T00:00:00"/>
        <d v="2024-05-01T00:00:00"/>
        <d v="2024-06-01T00:00:00"/>
        <d v="2024-01-07T00:00:00"/>
        <d v="2024-08-01T00:00:00"/>
        <d v="2024-01-09T00:00:00"/>
        <d v="2024-10-01T00:00:00"/>
        <d v="2024-11-0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1-02T00:00:00"/>
        <d v="2024-02-02T00:00:00"/>
        <d v="2024-03-02T00:00:00"/>
        <d v="2024-04-02T00:00:00"/>
        <d v="2024-02-05T00:00:00"/>
        <d v="2024-06-02T00:00:00"/>
        <d v="2024-07-02T00:00:00"/>
        <d v="2024-02-08T00:00:00"/>
        <d v="2024-09-02T00:00:00"/>
        <d v="2024-10-02T00:00:00"/>
        <d v="2024-02-11T00:00:00"/>
        <d v="2024-12-0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1-03T00:00:00"/>
        <d v="2024-03-03T00:00:00"/>
        <d v="2024-04-03T00:00:00"/>
        <d v="2024-03-05T00:00:00"/>
        <d v="2024-06-03T00:00:00"/>
        <d v="2024-07-03T00:00:00"/>
        <d v="2024-03-08T00:00:00"/>
        <d v="2024-09-03T00:00:00"/>
        <d v="2024-10-03T00:00:00"/>
        <d v="2024-03-11T00:00:00"/>
        <d v="2024-12-03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2-04T00:00:00"/>
        <d v="2024-03-04T00:00:00"/>
        <d v="2024-04-04T00:00:00"/>
        <d v="2024-05-04T00:00:00"/>
        <d v="2024-06-04T00:00:00"/>
        <d v="2024-04-07T00:00:00"/>
        <d v="2024-08-04T00:00:00"/>
        <d v="2024-09-04T00:00:00"/>
        <d v="2024-04-10T00:00:00"/>
        <d v="2024-11-04T00:00:00"/>
        <d v="2024-12-04T00:00:00"/>
        <d v="2024-04-13T00:00:00"/>
        <d v="2024-04-14T00:00:00"/>
        <d v="2024-04-15T00:00:00"/>
        <d v="2024-04-16T00:00:00"/>
        <d v="2024-04-17T00:00:00"/>
      </sharedItems>
    </cacheField>
  </cacheFields>
  <extLst>
    <ext xmlns:x14="http://schemas.microsoft.com/office/spreadsheetml/2009/9/main" uri="{725AE2AE-9491-48be-B2B4-4EB974FC3084}">
      <x14:pivotCacheDefinition pivotCacheId="919290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TXN001] "/>
    <s v=" Bạc xỉu "/>
    <x v="0"/>
    <n v="2"/>
    <n v="35000"/>
    <n v="70000"/>
    <s v="Nhỏ"/>
    <x v="0"/>
    <x v="0"/>
    <x v="0"/>
  </r>
  <r>
    <s v="[TXN003] "/>
    <s v=" Sinh tố bơ "/>
    <x v="1"/>
    <n v="5"/>
    <n v="55000"/>
    <n v="275000"/>
    <s v="Trung bình"/>
    <x v="1"/>
    <x v="1"/>
    <x v="1"/>
  </r>
  <r>
    <s v="[TXN004] "/>
    <s v=" Cà phê đen "/>
    <x v="0"/>
    <n v="3"/>
    <n v="25000"/>
    <n v="75000"/>
    <s v="Nhỏ"/>
    <x v="2"/>
    <x v="2"/>
    <x v="2"/>
  </r>
  <r>
    <s v="[TXN006] "/>
    <s v=" Trà sữa "/>
    <x v="2"/>
    <n v="1"/>
    <n v="45000"/>
    <n v="45000"/>
    <s v="Nhỏ"/>
    <x v="0"/>
    <x v="0"/>
    <x v="3"/>
  </r>
  <r>
    <s v="[TXN007] "/>
    <s v=" Nước cam "/>
    <x v="3"/>
    <n v="2"/>
    <n v="30000"/>
    <n v="60000"/>
    <s v="Nhỏ"/>
    <x v="1"/>
    <x v="1"/>
    <x v="4"/>
  </r>
  <r>
    <s v="[TXN008] "/>
    <s v=" Ép thơm "/>
    <x v="3"/>
    <n v="1"/>
    <n v="40000"/>
    <n v="40000"/>
    <s v="Nhỏ"/>
    <x v="2"/>
    <x v="3"/>
    <x v="5"/>
  </r>
  <r>
    <s v="[TXN010] "/>
    <s v=" Cà phê sữa "/>
    <x v="0"/>
    <n v="4"/>
    <n v="29000"/>
    <n v="116000"/>
    <s v="Nhỏ"/>
    <x v="0"/>
    <x v="0"/>
    <x v="6"/>
  </r>
  <r>
    <s v="[TXN011] "/>
    <s v=" Trà vải "/>
    <x v="2"/>
    <n v="2"/>
    <n v="42000"/>
    <n v="84000"/>
    <s v="Nhỏ"/>
    <x v="1"/>
    <x v="2"/>
    <x v="7"/>
  </r>
  <r>
    <s v="[TXN012] "/>
    <s v=" Sinh tố xoài "/>
    <x v="1"/>
    <n v="1"/>
    <n v="50000"/>
    <n v="50000"/>
    <s v="Trung bình"/>
    <x v="2"/>
    <x v="1"/>
    <x v="8"/>
  </r>
  <r>
    <s v="[TXN013] "/>
    <s v=" Latte "/>
    <x v="0"/>
    <n v="2"/>
    <n v="45000"/>
    <n v="90000"/>
    <s v="Nhỏ"/>
    <x v="0"/>
    <x v="3"/>
    <x v="9"/>
  </r>
  <r>
    <s v="[TXN015] "/>
    <s v=" Mocha "/>
    <x v="0"/>
    <n v="1"/>
    <n v="48000"/>
    <n v="48000"/>
    <s v="Nhỏ"/>
    <x v="1"/>
    <x v="0"/>
    <x v="10"/>
  </r>
  <r>
    <s v="[TXN016] "/>
    <s v=" Trà lài "/>
    <x v="2"/>
    <n v="3"/>
    <n v="35000"/>
    <n v="105000"/>
    <s v="Nhỏ"/>
    <x v="2"/>
    <x v="1"/>
    <x v="11"/>
  </r>
  <r>
    <s v="[TXN017] "/>
    <s v=" Ép bưởi "/>
    <x v="3"/>
    <n v="2"/>
    <n v="38000"/>
    <n v="76000"/>
    <s v="Nhỏ"/>
    <x v="0"/>
    <x v="2"/>
    <x v="12"/>
  </r>
  <r>
    <s v="[TXN018] "/>
    <s v=" Bạc xỉu "/>
    <x v="0"/>
    <n v="5"/>
    <n v="35000"/>
    <n v="175000"/>
    <s v="Nhỏ"/>
    <x v="1"/>
    <x v="3"/>
    <x v="13"/>
  </r>
  <r>
    <s v="[TXN019] "/>
    <s v=" Trà đào "/>
    <x v="2"/>
    <n v="1"/>
    <n v="40000"/>
    <n v="40000"/>
    <s v="Nhỏ"/>
    <x v="2"/>
    <x v="0"/>
    <x v="14"/>
  </r>
  <r>
    <s v="[TXN021] "/>
    <s v=" Sinh tố dâu "/>
    <x v="1"/>
    <n v="3"/>
    <n v="55000"/>
    <n v="165000"/>
    <s v="Trung bình"/>
    <x v="0"/>
    <x v="1"/>
    <x v="15"/>
  </r>
  <r>
    <s v="[TXN022] "/>
    <s v=" Cà phê đen "/>
    <x v="0"/>
    <n v="10"/>
    <n v="25000"/>
    <n v="250000"/>
    <s v="Nhỏ"/>
    <x v="1"/>
    <x v="2"/>
    <x v="16"/>
  </r>
  <r>
    <s v="[TXN023] "/>
    <s v=" Trà sữa "/>
    <x v="2"/>
    <n v="2"/>
    <n v="45000"/>
    <n v="90000"/>
    <s v="Nhỏ"/>
    <x v="2"/>
    <x v="3"/>
    <x v="17"/>
  </r>
  <r>
    <s v="[TXN024] "/>
    <s v=" Nước chanh "/>
    <x v="3"/>
    <n v="4"/>
    <n v="25000"/>
    <n v="100000"/>
    <s v="Nhỏ"/>
    <x v="0"/>
    <x v="0"/>
    <x v="18"/>
  </r>
  <r>
    <s v="[TXN025] "/>
    <s v=" Ép táo "/>
    <x v="3"/>
    <n v="1"/>
    <n v="40000"/>
    <n v="40000"/>
    <s v="Nhỏ"/>
    <x v="1"/>
    <x v="1"/>
    <x v="19"/>
  </r>
  <r>
    <s v="[TXN027] "/>
    <s v=" Cà phê sữa "/>
    <x v="0"/>
    <n v="2"/>
    <n v="29000"/>
    <n v="58000"/>
    <s v="Nhỏ"/>
    <x v="2"/>
    <x v="2"/>
    <x v="20"/>
  </r>
  <r>
    <s v="[TXN028] "/>
    <s v=" Trà thạch vải "/>
    <x v="2"/>
    <n v="3"/>
    <n v="45000"/>
    <n v="135000"/>
    <s v="Nhỏ"/>
    <x v="0"/>
    <x v="3"/>
    <x v="21"/>
  </r>
  <r>
    <s v="[TXN029] "/>
    <s v=" Sinh tố sapoche "/>
    <x v="1"/>
    <n v="1"/>
    <n v="50000"/>
    <n v="50000"/>
    <s v="Trung bình"/>
    <x v="1"/>
    <x v="0"/>
    <x v="22"/>
  </r>
  <r>
    <s v="[TXN030] "/>
    <s v=" Cappuccino "/>
    <x v="0"/>
    <n v="2"/>
    <n v="45000"/>
    <n v="90000"/>
    <s v="Nhỏ"/>
    <x v="2"/>
    <x v="1"/>
    <x v="23"/>
  </r>
  <r>
    <s v="[TXN031] "/>
    <s v=" Trà xanh "/>
    <x v="2"/>
    <n v="2"/>
    <n v="30000"/>
    <n v="60000"/>
    <s v="Nhỏ"/>
    <x v="0"/>
    <x v="2"/>
    <x v="24"/>
  </r>
  <r>
    <s v="[TXN033] "/>
    <s v=" Ép cà rốt "/>
    <x v="3"/>
    <n v="3"/>
    <n v="35000"/>
    <n v="105000"/>
    <s v="Nhỏ"/>
    <x v="1"/>
    <x v="3"/>
    <x v="25"/>
  </r>
  <r>
    <s v="[TXN034] "/>
    <s v=" Bạc xỉu "/>
    <x v="0"/>
    <n v="1"/>
    <n v="35000"/>
    <n v="35000"/>
    <s v="Nhỏ"/>
    <x v="2"/>
    <x v="0"/>
    <x v="26"/>
  </r>
  <r>
    <s v="[TXN035] "/>
    <s v=" Trà đào "/>
    <x v="2"/>
    <n v="4"/>
    <n v="40000"/>
    <n v="160000"/>
    <s v="Nhỏ"/>
    <x v="0"/>
    <x v="1"/>
    <x v="27"/>
  </r>
  <r>
    <s v="[TXN036] "/>
    <s v=" Sinh tố bơ "/>
    <x v="1"/>
    <n v="2"/>
    <n v="55000"/>
    <n v="110000"/>
    <s v="Trung bình"/>
    <x v="1"/>
    <x v="2"/>
    <x v="28"/>
  </r>
  <r>
    <s v="[TXN037] "/>
    <s v=" Cà phê đen "/>
    <x v="0"/>
    <n v="1"/>
    <n v="25000"/>
    <n v="25000"/>
    <s v="Nhỏ"/>
    <x v="2"/>
    <x v="3"/>
    <x v="29"/>
  </r>
  <r>
    <s v="[TXN039] "/>
    <s v=" Trà sữa "/>
    <x v="2"/>
    <n v="5"/>
    <n v="45000"/>
    <n v="225000"/>
    <s v="Nhỏ"/>
    <x v="0"/>
    <x v="0"/>
    <x v="30"/>
  </r>
  <r>
    <s v="[TXN040] "/>
    <s v=" Nước cam "/>
    <x v="3"/>
    <n v="2"/>
    <n v="30000"/>
    <n v="60000"/>
    <s v="Nhỏ"/>
    <x v="1"/>
    <x v="1"/>
    <x v="31"/>
  </r>
  <r>
    <s v="[TXN041] "/>
    <s v=" Ép thơm "/>
    <x v="3"/>
    <n v="1"/>
    <n v="40000"/>
    <n v="40000"/>
    <s v="Nhỏ"/>
    <x v="2"/>
    <x v="2"/>
    <x v="32"/>
  </r>
  <r>
    <s v="[TXN042] "/>
    <s v=" Cà phê sữa "/>
    <x v="0"/>
    <n v="3"/>
    <n v="29000"/>
    <n v="87000"/>
    <s v="Nhỏ"/>
    <x v="0"/>
    <x v="3"/>
    <x v="33"/>
  </r>
  <r>
    <s v="[TXN043] "/>
    <s v=" Trà vải "/>
    <x v="2"/>
    <n v="2"/>
    <n v="42000"/>
    <n v="84000"/>
    <s v="Nhỏ"/>
    <x v="1"/>
    <x v="0"/>
    <x v="34"/>
  </r>
  <r>
    <s v="[TXN045] "/>
    <s v=" Sinh tố xoài "/>
    <x v="1"/>
    <n v="1"/>
    <n v="50000"/>
    <n v="50000"/>
    <s v="Trung bình"/>
    <x v="2"/>
    <x v="1"/>
    <x v="35"/>
  </r>
  <r>
    <s v="[TXN046] "/>
    <s v=" Latte "/>
    <x v="0"/>
    <n v="4"/>
    <n v="45000"/>
    <n v="180000"/>
    <s v="Nhỏ"/>
    <x v="0"/>
    <x v="2"/>
    <x v="36"/>
  </r>
  <r>
    <s v="[TXN047] "/>
    <s v=" Mocha "/>
    <x v="0"/>
    <n v="2"/>
    <n v="48000"/>
    <n v="96000"/>
    <s v="Nhỏ"/>
    <x v="1"/>
    <x v="3"/>
    <x v="37"/>
  </r>
  <r>
    <s v="[TXN048] "/>
    <s v=" Trà lài "/>
    <x v="2"/>
    <n v="1"/>
    <n v="35000"/>
    <n v="35000"/>
    <s v="Nhỏ"/>
    <x v="2"/>
    <x v="0"/>
    <x v="38"/>
  </r>
  <r>
    <s v="[TXN049] "/>
    <s v=" Ép bưởi "/>
    <x v="3"/>
    <n v="2"/>
    <n v="38000"/>
    <n v="76000"/>
    <s v="Nhỏ"/>
    <x v="0"/>
    <x v="1"/>
    <x v="39"/>
  </r>
  <r>
    <s v="[TXN051] "/>
    <s v=" Bạc xỉu "/>
    <x v="0"/>
    <n v="3"/>
    <n v="35000"/>
    <n v="105000"/>
    <s v="Nhỏ"/>
    <x v="1"/>
    <x v="2"/>
    <x v="40"/>
  </r>
  <r>
    <s v="[TXN052] "/>
    <s v=" Trà đào "/>
    <x v="2"/>
    <n v="2"/>
    <n v="40000"/>
    <n v="80000"/>
    <s v="Nhỏ"/>
    <x v="2"/>
    <x v="3"/>
    <x v="41"/>
  </r>
  <r>
    <s v="[TXN053] "/>
    <s v=" Sinh tố dâu "/>
    <x v="1"/>
    <n v="1"/>
    <n v="55000"/>
    <n v="55000"/>
    <s v="Trung bình"/>
    <x v="0"/>
    <x v="0"/>
    <x v="42"/>
  </r>
  <r>
    <s v="[TXN054] "/>
    <s v=" Cà phê sữa "/>
    <x v="0"/>
    <n v="5"/>
    <n v="29000"/>
    <n v="145000"/>
    <s v="Nhỏ"/>
    <x v="1"/>
    <x v="1"/>
    <x v="43"/>
  </r>
  <r>
    <s v="[TXN055] "/>
    <s v=" Trà thạch vải "/>
    <x v="2"/>
    <n v="1"/>
    <n v="45000"/>
    <n v="45000"/>
    <s v="Nhỏ"/>
    <x v="2"/>
    <x v="2"/>
    <x v="44"/>
  </r>
  <r>
    <s v="[TXN057] "/>
    <s v=" Sinh tố sapoche "/>
    <x v="1"/>
    <n v="2"/>
    <n v="50000"/>
    <n v="100000"/>
    <s v="Trung bình"/>
    <x v="0"/>
    <x v="3"/>
    <x v="45"/>
  </r>
  <r>
    <s v="[TXN058] "/>
    <s v=" Cappuccino "/>
    <x v="0"/>
    <n v="3"/>
    <n v="45000"/>
    <n v="135000"/>
    <s v="Nhỏ"/>
    <x v="1"/>
    <x v="0"/>
    <x v="46"/>
  </r>
  <r>
    <s v="[TXN059] "/>
    <s v=" Trà xanh "/>
    <x v="2"/>
    <n v="4"/>
    <n v="30000"/>
    <n v="120000"/>
    <s v="Nhỏ"/>
    <x v="2"/>
    <x v="1"/>
    <x v="47"/>
  </r>
  <r>
    <s v="[TXN060] "/>
    <s v=" Ép cà rốt "/>
    <x v="3"/>
    <n v="1"/>
    <n v="35000"/>
    <n v="35000"/>
    <s v="Nhỏ"/>
    <x v="0"/>
    <x v="2"/>
    <x v="48"/>
  </r>
  <r>
    <s v="[TXN061] "/>
    <s v=" Latte "/>
    <x v="0"/>
    <n v="2"/>
    <n v="45000"/>
    <n v="90000"/>
    <s v="Nhỏ"/>
    <x v="1"/>
    <x v="3"/>
    <x v="49"/>
  </r>
  <r>
    <s v="[TXN062] "/>
    <s v=" Espresso "/>
    <x v="0"/>
    <n v="1"/>
    <n v="30000"/>
    <n v="30000"/>
    <s v="Nhỏ"/>
    <x v="2"/>
    <x v="0"/>
    <x v="50"/>
  </r>
  <r>
    <s v="[TXN063] "/>
    <s v=" Trà đào cam sả "/>
    <x v="2"/>
    <n v="2"/>
    <n v="45000"/>
    <n v="90000"/>
    <s v="Nhỏ"/>
    <x v="0"/>
    <x v="1"/>
    <x v="51"/>
  </r>
  <r>
    <s v="[TXN065] "/>
    <s v=" Sinh tố mãng cầu "/>
    <x v="1"/>
    <n v="1"/>
    <n v="50000"/>
    <n v="50000"/>
    <s v="Trung bình"/>
    <x v="1"/>
    <x v="2"/>
    <x v="52"/>
  </r>
  <r>
    <s v="[TXN066] "/>
    <s v=" Americano "/>
    <x v="0"/>
    <n v="3"/>
    <n v="32000"/>
    <n v="96000"/>
    <s v="Nhỏ"/>
    <x v="2"/>
    <x v="3"/>
    <x v="53"/>
  </r>
  <r>
    <s v="[TXN067] "/>
    <s v=" Nước chanh dây "/>
    <x v="3"/>
    <n v="2"/>
    <n v="28000"/>
    <n v="56000"/>
    <s v="Nhỏ"/>
    <x v="0"/>
    <x v="0"/>
    <x v="54"/>
  </r>
  <r>
    <s v="[TXN068] "/>
    <s v=" Trà sữa thái xanh "/>
    <x v="2"/>
    <n v="4"/>
    <n v="40000"/>
    <n v="160000"/>
    <s v="Nhỏ"/>
    <x v="1"/>
    <x v="1"/>
    <x v="55"/>
  </r>
  <r>
    <s v="[TXN070] "/>
    <s v=" Cà phê cốt dừa "/>
    <x v="0"/>
    <n v="1"/>
    <n v="45000"/>
    <n v="45000"/>
    <s v="Nhỏ"/>
    <x v="2"/>
    <x v="2"/>
    <x v="56"/>
  </r>
  <r>
    <s v="[TXN071] "/>
    <s v=" Ép dưa hấu "/>
    <x v="3"/>
    <n v="5"/>
    <n v="35000"/>
    <n v="175000"/>
    <s v="Nhỏ"/>
    <x v="0"/>
    <x v="3"/>
    <x v="57"/>
  </r>
  <r>
    <s v="[TXN072] "/>
    <s v=" Sinh tố thanh long "/>
    <x v="1"/>
    <n v="2"/>
    <n v="48000"/>
    <n v="96000"/>
    <s v="Nhỏ"/>
    <x v="1"/>
    <x v="0"/>
    <x v="58"/>
  </r>
  <r>
    <s v="[TXN073] "/>
    <s v=" Trà gừng "/>
    <x v="2"/>
    <n v="1"/>
    <n v="25000"/>
    <n v="25000"/>
    <s v="Nhỏ"/>
    <x v="2"/>
    <x v="1"/>
    <x v="59"/>
  </r>
  <r>
    <s v="[TXN075] "/>
    <s v=" Bạc xỉu nóng "/>
    <x v="0"/>
    <n v="2"/>
    <n v="35000"/>
    <n v="70000"/>
    <s v="Nhỏ"/>
    <x v="0"/>
    <x v="2"/>
    <x v="60"/>
  </r>
  <r>
    <s v="[TXN076] "/>
    <s v=" Trà ô long "/>
    <x v="2"/>
    <n v="3"/>
    <n v="38000"/>
    <n v="114000"/>
    <s v="Nhỏ"/>
    <x v="1"/>
    <x v="3"/>
    <x v="61"/>
  </r>
  <r>
    <s v="[TXN077] "/>
    <s v=" Ép ổi "/>
    <x v="3"/>
    <n v="4"/>
    <n v="30000"/>
    <n v="120000"/>
    <s v="Nhỏ"/>
    <x v="2"/>
    <x v="0"/>
    <x v="62"/>
  </r>
  <r>
    <s v="[TXN078] "/>
    <s v=" Cà phê trứng "/>
    <x v="0"/>
    <n v="1"/>
    <n v="55000"/>
    <n v="55000"/>
    <s v="Trung bình"/>
    <x v="0"/>
    <x v="1"/>
    <x v="63"/>
  </r>
  <r>
    <s v="[TXN080] "/>
    <s v=" Sinh tố sầu riêng "/>
    <x v="1"/>
    <n v="1"/>
    <n v="65000"/>
    <n v="65000"/>
    <s v="Trung bình"/>
    <x v="1"/>
    <x v="2"/>
    <x v="64"/>
  </r>
  <r>
    <s v="[TXN081] "/>
    <s v=" Trà hoa cúc "/>
    <x v="2"/>
    <n v="2"/>
    <n v="35000"/>
    <n v="70000"/>
    <s v="Nhỏ"/>
    <x v="2"/>
    <x v="3"/>
    <x v="65"/>
  </r>
  <r>
    <s v="[TXN082] "/>
    <s v=" Nước khoáng "/>
    <x v="4"/>
    <n v="10"/>
    <n v="10000"/>
    <n v="100000"/>
    <s v="Nhỏ"/>
    <x v="0"/>
    <x v="0"/>
    <x v="66"/>
  </r>
  <r>
    <s v="[TXN083] "/>
    <s v=" Cà phê muối "/>
    <x v="0"/>
    <n v="2"/>
    <n v="40000"/>
    <n v="80000"/>
    <s v="Nhỏ"/>
    <x v="1"/>
    <x v="1"/>
    <x v="67"/>
  </r>
  <r>
    <s v="[TXN085] "/>
    <s v=" Ép lựu "/>
    <x v="3"/>
    <n v="1"/>
    <n v="55000"/>
    <n v="55000"/>
    <s v="Trung bình"/>
    <x v="2"/>
    <x v="2"/>
    <x v="68"/>
  </r>
  <r>
    <s v="[TXN086] "/>
    <s v=" Trà chanh "/>
    <x v="2"/>
    <n v="5"/>
    <n v="20000"/>
    <n v="100000"/>
    <s v="Nhỏ"/>
    <x v="0"/>
    <x v="3"/>
    <x v="69"/>
  </r>
  <r>
    <s v="[TXN087] "/>
    <s v=" Sinh tố việt quất "/>
    <x v="1"/>
    <n v="1"/>
    <n v="60000"/>
    <n v="60000"/>
    <s v="Trung bình"/>
    <x v="1"/>
    <x v="0"/>
    <x v="70"/>
  </r>
  <r>
    <s v="[TXN088] "/>
    <s v=" Cold Brew "/>
    <x v="0"/>
    <n v="2"/>
    <n v="50000"/>
    <n v="100000"/>
    <s v="Trung bình"/>
    <x v="2"/>
    <x v="1"/>
    <x v="42"/>
  </r>
  <r>
    <s v="[TXN089] "/>
    <s v=" Trà sen "/>
    <x v="2"/>
    <n v="3"/>
    <n v="42000"/>
    <n v="126000"/>
    <s v="Nhỏ"/>
    <x v="0"/>
    <x v="2"/>
    <x v="71"/>
  </r>
  <r>
    <s v="[TXN091] "/>
    <s v=" Ép dâu tây "/>
    <x v="3"/>
    <n v="2"/>
    <n v="50000"/>
    <n v="100000"/>
    <s v="Trung bình"/>
    <x v="1"/>
    <x v="3"/>
    <x v="72"/>
  </r>
  <r>
    <s v="[TXN092] "/>
    <s v=" Cà phê sữa đá "/>
    <x v="0"/>
    <n v="4"/>
    <n v="29000"/>
    <n v="116000"/>
    <s v="Nhỏ"/>
    <x v="2"/>
    <x v="0"/>
    <x v="73"/>
  </r>
  <r>
    <s v="[TXN093] "/>
    <s v=" Trà sữa trân châu "/>
    <x v="2"/>
    <n v="2"/>
    <n v="45000"/>
    <n v="90000"/>
    <s v="Nhỏ"/>
    <x v="0"/>
    <x v="1"/>
    <x v="74"/>
  </r>
  <r>
    <s v="[TXN094] "/>
    <s v=" Sinh tố dưa bở "/>
    <x v="1"/>
    <n v="3"/>
    <n v="45000"/>
    <n v="135000"/>
    <s v="Nhỏ"/>
    <x v="1"/>
    <x v="2"/>
    <x v="75"/>
  </r>
  <r>
    <s v="[TXN095] "/>
    <s v=" Macchiato "/>
    <x v="0"/>
    <n v="1"/>
    <n v="45000"/>
    <n v="45000"/>
    <s v="Nhỏ"/>
    <x v="2"/>
    <x v="3"/>
    <x v="76"/>
  </r>
  <r>
    <s v="[TXN097] "/>
    <s v=" Trà xanh mật ong "/>
    <x v="2"/>
    <n v="2"/>
    <n v="35000"/>
    <n v="70000"/>
    <s v="Nhỏ"/>
    <x v="0"/>
    <x v="0"/>
    <x v="77"/>
  </r>
  <r>
    <s v="[TXN098] "/>
    <s v=" Nước mía "/>
    <x v="3"/>
    <n v="5"/>
    <n v="15000"/>
    <n v="75000"/>
    <s v="Nhỏ"/>
    <x v="1"/>
    <x v="1"/>
    <x v="78"/>
  </r>
  <r>
    <s v="[TXN099] "/>
    <s v=" Cà phê Arabica "/>
    <x v="0"/>
    <n v="1"/>
    <n v="55000"/>
    <n v="55000"/>
    <s v="Trung bình"/>
    <x v="2"/>
    <x v="2"/>
    <x v="79"/>
  </r>
  <r>
    <s v="[TXN100] "/>
    <s v=" Trà thảo mộc "/>
    <x v="2"/>
    <n v="3"/>
    <n v="40000"/>
    <n v="120000"/>
    <s v="Nhỏ"/>
    <x v="0"/>
    <x v="3"/>
    <x v="80"/>
  </r>
  <r>
    <s v="[TXN101] "/>
    <s v=" Ép khế "/>
    <x v="3"/>
    <n v="1"/>
    <n v="35000"/>
    <n v="35000"/>
    <s v="Nhỏ"/>
    <x v="1"/>
    <x v="0"/>
    <x v="81"/>
  </r>
  <r>
    <s v="[TXN103] "/>
    <s v=" Sinh tố kiwi "/>
    <x v="1"/>
    <n v="2"/>
    <n v="55000"/>
    <n v="110000"/>
    <s v="Trung bình"/>
    <x v="2"/>
    <x v="1"/>
    <x v="82"/>
  </r>
  <r>
    <s v="[TXN104] "/>
    <s v=" Cà phê Moka "/>
    <x v="0"/>
    <n v="1"/>
    <n v="50000"/>
    <n v="50000"/>
    <s v="Trung bình"/>
    <x v="0"/>
    <x v="2"/>
    <x v="83"/>
  </r>
  <r>
    <s v="[TXN105] "/>
    <s v=" Trà nhãn "/>
    <x v="2"/>
    <n v="4"/>
    <n v="45000"/>
    <n v="180000"/>
    <s v="Nhỏ"/>
    <x v="1"/>
    <x v="3"/>
    <x v="84"/>
  </r>
  <r>
    <s v="[TXN106] "/>
    <s v=" Ép chanh leo "/>
    <x v="3"/>
    <n v="2"/>
    <n v="30000"/>
    <n v="60000"/>
    <s v="Nhỏ"/>
    <x v="2"/>
    <x v="0"/>
    <x v="85"/>
  </r>
  <r>
    <s v="[TXN107] "/>
    <s v=" Bạc xỉu cốt dừa "/>
    <x v="0"/>
    <n v="2"/>
    <n v="45000"/>
    <n v="90000"/>
    <s v="Nhỏ"/>
    <x v="0"/>
    <x v="1"/>
    <x v="86"/>
  </r>
  <r>
    <s v="[TXN109] "/>
    <s v=" Trà đào "/>
    <x v="2"/>
    <n v="3"/>
    <n v="40000"/>
    <n v="120000"/>
    <s v="Nhỏ"/>
    <x v="1"/>
    <x v="2"/>
    <x v="87"/>
  </r>
  <r>
    <s v="[TXN110] "/>
    <s v=" Sinh tố mít "/>
    <x v="1"/>
    <n v="1"/>
    <n v="50000"/>
    <n v="50000"/>
    <s v="Trung bình"/>
    <x v="2"/>
    <x v="3"/>
    <x v="88"/>
  </r>
  <r>
    <s v="[TXN111] "/>
    <s v=" Cà phê đen nóng "/>
    <x v="0"/>
    <n v="2"/>
    <n v="25000"/>
    <n v="50000"/>
    <s v="Nhỏ"/>
    <x v="0"/>
    <x v="0"/>
    <x v="89"/>
  </r>
  <r>
    <s v="[TXN112] "/>
    <s v=" Trà vải kem cheese "/>
    <x v="2"/>
    <n v="1"/>
    <n v="55000"/>
    <n v="55000"/>
    <s v="Trung bình"/>
    <x v="1"/>
    <x v="1"/>
    <x v="90"/>
  </r>
  <r>
    <s v="[TXN113] "/>
    <s v=" Ép táo "/>
    <x v="3"/>
    <n v="2"/>
    <n v="40000"/>
    <n v="80000"/>
    <s v="Nhỏ"/>
    <x v="2"/>
    <x v="2"/>
    <x v="91"/>
  </r>
  <r>
    <s v="[TXN115] "/>
    <s v=" Sinh tố chuối "/>
    <x v="1"/>
    <n v="3"/>
    <n v="40000"/>
    <n v="120000"/>
    <s v="Nhỏ"/>
    <x v="0"/>
    <x v="3"/>
    <x v="92"/>
  </r>
  <r>
    <s v="[TXN116] "/>
    <s v=" Espresso Doppio "/>
    <x v="0"/>
    <n v="1"/>
    <n v="45000"/>
    <n v="45000"/>
    <s v="Nhỏ"/>
    <x v="1"/>
    <x v="0"/>
    <x v="93"/>
  </r>
  <r>
    <s v="[TXN117] "/>
    <s v=" Trà lài sữa "/>
    <x v="2"/>
    <n v="2"/>
    <n v="38000"/>
    <n v="76000"/>
    <s v="Nhỏ"/>
    <x v="2"/>
    <x v="1"/>
    <x v="94"/>
  </r>
  <r>
    <s v="[TXN118] "/>
    <s v=" Ép cà chua "/>
    <x v="3"/>
    <n v="4"/>
    <n v="30000"/>
    <n v="120000"/>
    <s v="Nhỏ"/>
    <x v="0"/>
    <x v="2"/>
    <x v="95"/>
  </r>
  <r>
    <s v="[TXN119] "/>
    <s v=" Cà phê sữa nóng "/>
    <x v="0"/>
    <n v="1"/>
    <n v="29000"/>
    <n v="29000"/>
    <s v="Nhỏ"/>
    <x v="1"/>
    <x v="3"/>
    <x v="96"/>
  </r>
  <r>
    <s v="[TXN121] "/>
    <s v=" Trà Earl Grey "/>
    <x v="2"/>
    <n v="2"/>
    <n v="45000"/>
    <n v="90000"/>
    <s v="Nhỏ"/>
    <x v="2"/>
    <x v="0"/>
    <x v="97"/>
  </r>
  <r>
    <s v="[TXN122] "/>
    <s v=" Sinh tố mãng cầu "/>
    <x v="1"/>
    <n v="1"/>
    <n v="50000"/>
    <n v="50000"/>
    <s v="Trung bình"/>
    <x v="0"/>
    <x v="1"/>
    <x v="98"/>
  </r>
  <r>
    <s v="[TXN123] "/>
    <s v=" Cà phê đen "/>
    <x v="0"/>
    <n v="2"/>
    <n v="25000"/>
    <n v="50000"/>
    <s v="Nhỏ"/>
    <x v="0"/>
    <x v="0"/>
    <x v="99"/>
  </r>
  <r>
    <s v="[TXN124] "/>
    <s v=" Trà đào "/>
    <x v="2"/>
    <n v="1"/>
    <n v="40000"/>
    <n v="40000"/>
    <s v="Nhỏ"/>
    <x v="1"/>
    <x v="1"/>
    <x v="100"/>
  </r>
  <r>
    <s v="[TXN125] "/>
    <s v=" Sinh tố bơ "/>
    <x v="1"/>
    <n v="1"/>
    <n v="55000"/>
    <n v="55000"/>
    <s v="Trung bình"/>
    <x v="2"/>
    <x v="2"/>
    <x v="101"/>
  </r>
  <r>
    <s v="[TXN126] "/>
    <s v=" Bạc xỉu "/>
    <x v="0"/>
    <n v="3"/>
    <n v="35000"/>
    <n v="105000"/>
    <s v="Nhỏ"/>
    <x v="0"/>
    <x v="3"/>
    <x v="102"/>
  </r>
  <r>
    <s v="[TXN127] "/>
    <s v=" Trà sữa "/>
    <x v="2"/>
    <n v="2"/>
    <n v="45000"/>
    <n v="90000"/>
    <s v="Nhỏ"/>
    <x v="1"/>
    <x v="0"/>
    <x v="103"/>
  </r>
  <r>
    <s v="[TXN128] "/>
    <s v=" Ép thơm "/>
    <x v="3"/>
    <n v="4"/>
    <n v="40000"/>
    <n v="160000"/>
    <s v="Nhỏ"/>
    <x v="2"/>
    <x v="1"/>
    <x v="104"/>
  </r>
  <r>
    <s v="[TXN129] "/>
    <s v=" Cà phê sữa "/>
    <x v="0"/>
    <n v="5"/>
    <n v="29000"/>
    <n v="145000"/>
    <s v="Nhỏ"/>
    <x v="0"/>
    <x v="2"/>
    <x v="105"/>
  </r>
  <r>
    <s v="[TXN130] "/>
    <s v=" Trà vải "/>
    <x v="2"/>
    <n v="2"/>
    <n v="42000"/>
    <n v="84000"/>
    <s v="Nhỏ"/>
    <x v="1"/>
    <x v="3"/>
    <x v="106"/>
  </r>
  <r>
    <s v="[TXN131] "/>
    <s v=" Sinh tố xoài "/>
    <x v="1"/>
    <n v="1"/>
    <n v="50000"/>
    <n v="50000"/>
    <s v="Trung bình"/>
    <x v="2"/>
    <x v="0"/>
    <x v="107"/>
  </r>
  <r>
    <s v="[TXN132] "/>
    <s v=" Latte "/>
    <x v="0"/>
    <n v="2"/>
    <n v="45000"/>
    <n v="90000"/>
    <s v="Nhỏ"/>
    <x v="0"/>
    <x v="1"/>
    <x v="108"/>
  </r>
  <r>
    <s v="[TXN133] "/>
    <s v=" Mocha "/>
    <x v="0"/>
    <n v="1"/>
    <n v="48000"/>
    <n v="48000"/>
    <s v="Nhỏ"/>
    <x v="1"/>
    <x v="2"/>
    <x v="109"/>
  </r>
  <r>
    <s v="[TXN134] "/>
    <s v=" Trà lài "/>
    <x v="2"/>
    <n v="3"/>
    <n v="35000"/>
    <n v="105000"/>
    <s v="Nhỏ"/>
    <x v="2"/>
    <x v="3"/>
    <x v="110"/>
  </r>
  <r>
    <s v="[TXN135] "/>
    <s v=" Ép bưởi "/>
    <x v="3"/>
    <n v="2"/>
    <n v="38000"/>
    <n v="76000"/>
    <s v="Nhỏ"/>
    <x v="0"/>
    <x v="0"/>
    <x v="111"/>
  </r>
  <r>
    <s v="[TXN136] "/>
    <s v=" Cappuccino "/>
    <x v="0"/>
    <n v="1"/>
    <n v="45000"/>
    <n v="45000"/>
    <s v="Nhỏ"/>
    <x v="1"/>
    <x v="1"/>
    <x v="112"/>
  </r>
  <r>
    <s v="[TXN137] "/>
    <s v=" Trà xanh "/>
    <x v="2"/>
    <n v="4"/>
    <n v="30000"/>
    <n v="120000"/>
    <s v="Nhỏ"/>
    <x v="2"/>
    <x v="2"/>
    <x v="113"/>
  </r>
  <r>
    <s v="[TXN138] "/>
    <s v=" Sinh tố dâu "/>
    <x v="1"/>
    <n v="2"/>
    <n v="55000"/>
    <n v="110000"/>
    <s v="Trung bình"/>
    <x v="0"/>
    <x v="3"/>
    <x v="114"/>
  </r>
  <r>
    <s v="[TXN139] "/>
    <s v=" Ép cà rốt "/>
    <x v="3"/>
    <n v="1"/>
    <n v="35000"/>
    <n v="35000"/>
    <s v="Nhỏ"/>
    <x v="1"/>
    <x v="0"/>
    <x v="115"/>
  </r>
  <r>
    <s v="[TXN140] "/>
    <s v=" Cà phê cốt dừa "/>
    <x v="0"/>
    <n v="3"/>
    <n v="45000"/>
    <n v="135000"/>
    <s v="Nhỏ"/>
    <x v="2"/>
    <x v="1"/>
    <x v="116"/>
  </r>
  <r>
    <s v="[TXN141] "/>
    <s v=" Trà nhãn "/>
    <x v="2"/>
    <n v="2"/>
    <n v="45000"/>
    <n v="90000"/>
    <s v="Nhỏ"/>
    <x v="0"/>
    <x v="2"/>
    <x v="117"/>
  </r>
  <r>
    <s v="[TXN142] "/>
    <s v=" Ép chanh leo "/>
    <x v="3"/>
    <n v="5"/>
    <n v="30000"/>
    <n v="150000"/>
    <s v="Nhỏ"/>
    <x v="1"/>
    <x v="3"/>
    <x v="118"/>
  </r>
  <r>
    <s v="[TXN143] "/>
    <s v=" Cà phê muối "/>
    <x v="0"/>
    <n v="1"/>
    <n v="40000"/>
    <n v="40000"/>
    <s v="Nhỏ"/>
    <x v="2"/>
    <x v="0"/>
    <x v="119"/>
  </r>
  <r>
    <s v="[TXN144] "/>
    <s v=" Trà ô long "/>
    <x v="2"/>
    <n v="3"/>
    <n v="38000"/>
    <n v="114000"/>
    <s v="Nhỏ"/>
    <x v="0"/>
    <x v="1"/>
    <x v="120"/>
  </r>
  <r>
    <s v="[TXN145] "/>
    <s v=" Sinh tố mít "/>
    <x v="1"/>
    <n v="2"/>
    <n v="50000"/>
    <n v="100000"/>
    <s v="Trung bình"/>
    <x v="1"/>
    <x v="2"/>
    <x v="121"/>
  </r>
  <r>
    <s v="[TXN146] "/>
    <s v=" Espresso "/>
    <x v="0"/>
    <n v="1"/>
    <n v="30000"/>
    <n v="30000"/>
    <s v="Nhỏ"/>
    <x v="2"/>
    <x v="3"/>
    <x v="122"/>
  </r>
  <r>
    <s v="[TXN147] "/>
    <s v=" Trà thảo mộc "/>
    <x v="2"/>
    <n v="4"/>
    <n v="40000"/>
    <n v="160000"/>
    <s v="Nhỏ"/>
    <x v="0"/>
    <x v="0"/>
    <x v="123"/>
  </r>
  <r>
    <s v="[TXN148] "/>
    <s v=" Nước cam "/>
    <x v="3"/>
    <n v="2"/>
    <n v="30000"/>
    <n v="60000"/>
    <s v="Nhỏ"/>
    <x v="1"/>
    <x v="1"/>
    <x v="124"/>
  </r>
  <r>
    <s v="[TXN149] "/>
    <s v=" Sinh tố kiwi "/>
    <x v="1"/>
    <n v="1"/>
    <n v="55000"/>
    <n v="55000"/>
    <s v="Trung bình"/>
    <x v="2"/>
    <x v="2"/>
    <x v="125"/>
  </r>
  <r>
    <s v="[TXN150] "/>
    <s v=" Macchiato "/>
    <x v="0"/>
    <n v="2"/>
    <n v="45000"/>
    <n v="90000"/>
    <s v="Nhỏ"/>
    <x v="0"/>
    <x v="3"/>
    <x v="126"/>
  </r>
  <r>
    <s v="[TXN151] "/>
    <s v=" Trà chanh "/>
    <x v="2"/>
    <n v="5"/>
    <n v="20000"/>
    <n v="100000"/>
    <s v="Nhỏ"/>
    <x v="1"/>
    <x v="0"/>
    <x v="127"/>
  </r>
  <r>
    <s v="[TXN152] "/>
    <s v=" Ép dưa hấu "/>
    <x v="3"/>
    <n v="3"/>
    <n v="35000"/>
    <n v="105000"/>
    <s v="Nhỏ"/>
    <x v="2"/>
    <x v="1"/>
    <x v="128"/>
  </r>
  <r>
    <s v="[TXN153] "/>
    <s v=" Cà phê Arabica "/>
    <x v="0"/>
    <n v="1"/>
    <n v="55000"/>
    <n v="55000"/>
    <s v="Trung bình"/>
    <x v="0"/>
    <x v="2"/>
    <x v="129"/>
  </r>
  <r>
    <s v="[TXN154] "/>
    <s v=" Trà sen "/>
    <x v="2"/>
    <n v="2"/>
    <n v="42000"/>
    <n v="84000"/>
    <s v="Nhỏ"/>
    <x v="1"/>
    <x v="3"/>
    <x v="130"/>
  </r>
  <r>
    <s v="[TXN155] "/>
    <s v=" Sinh tố sapoche "/>
    <x v="1"/>
    <n v="4"/>
    <n v="50000"/>
    <n v="200000"/>
    <s v="Trung bình"/>
    <x v="2"/>
    <x v="0"/>
    <x v="131"/>
  </r>
  <r>
    <s v="[TXN156] "/>
    <s v=" Bạc xỉu nóng "/>
    <x v="0"/>
    <n v="2"/>
    <n v="35000"/>
    <n v="70000"/>
    <s v="Nhỏ"/>
    <x v="0"/>
    <x v="1"/>
    <x v="132"/>
  </r>
  <r>
    <s v="[TXN157] "/>
    <s v=" Trà vải kem cheese "/>
    <x v="2"/>
    <n v="1"/>
    <n v="55000"/>
    <n v="55000"/>
    <s v="Trung bình"/>
    <x v="1"/>
    <x v="2"/>
    <x v="133"/>
  </r>
  <r>
    <s v="[TXN158] "/>
    <s v=" Ép táo "/>
    <x v="3"/>
    <n v="3"/>
    <n v="40000"/>
    <n v="120000"/>
    <s v="Nhỏ"/>
    <x v="2"/>
    <x v="3"/>
    <x v="134"/>
  </r>
  <r>
    <s v="[TXN159] "/>
    <s v=" Americano "/>
    <x v="0"/>
    <n v="2"/>
    <n v="32000"/>
    <n v="64000"/>
    <s v="Nhỏ"/>
    <x v="0"/>
    <x v="0"/>
    <x v="135"/>
  </r>
  <r>
    <s v="[TXN160] "/>
    <s v=" Trà hoa cúc "/>
    <x v="2"/>
    <n v="1"/>
    <n v="35000"/>
    <n v="35000"/>
    <s v="Nhỏ"/>
    <x v="1"/>
    <x v="1"/>
    <x v="136"/>
  </r>
  <r>
    <s v="[TXN161] "/>
    <s v=" Sinh tố chuối "/>
    <x v="1"/>
    <n v="5"/>
    <n v="40000"/>
    <n v="200000"/>
    <s v="Nhỏ"/>
    <x v="2"/>
    <x v="2"/>
    <x v="137"/>
  </r>
  <r>
    <s v="[TXN162] "/>
    <s v=" Cà phê sữa đá "/>
    <x v="0"/>
    <n v="4"/>
    <n v="29000"/>
    <n v="116000"/>
    <s v="Nhỏ"/>
    <x v="0"/>
    <x v="3"/>
    <x v="138"/>
  </r>
  <r>
    <s v="[TXN163] "/>
    <s v=" Trà đào cam sả "/>
    <x v="2"/>
    <n v="2"/>
    <n v="45000"/>
    <n v="90000"/>
    <s v="Nhỏ"/>
    <x v="1"/>
    <x v="0"/>
    <x v="139"/>
  </r>
  <r>
    <s v="[TXN164] "/>
    <s v=" Ép ổi "/>
    <x v="3"/>
    <n v="3"/>
    <n v="30000"/>
    <n v="90000"/>
    <s v="Nhỏ"/>
    <x v="2"/>
    <x v="1"/>
    <x v="140"/>
  </r>
  <r>
    <s v="[TXN165] "/>
    <s v=" Cold Brew "/>
    <x v="0"/>
    <n v="1"/>
    <n v="50000"/>
    <n v="50000"/>
    <s v="Trung bình"/>
    <x v="0"/>
    <x v="2"/>
    <x v="141"/>
  </r>
  <r>
    <s v="[TXN166] "/>
    <s v=" Trà xanh mật ong "/>
    <x v="2"/>
    <n v="2"/>
    <n v="35000"/>
    <n v="70000"/>
    <s v="Nhỏ"/>
    <x v="1"/>
    <x v="3"/>
    <x v="142"/>
  </r>
  <r>
    <s v="[TXN167] "/>
    <s v=" Sinh tố việt quất "/>
    <x v="1"/>
    <n v="1"/>
    <n v="60000"/>
    <n v="60000"/>
    <s v="Trung bình"/>
    <x v="2"/>
    <x v="0"/>
    <x v="143"/>
  </r>
  <r>
    <s v="[TXN168] "/>
    <s v=" Latte nóng "/>
    <x v="0"/>
    <n v="3"/>
    <n v="45000"/>
    <n v="135000"/>
    <s v="Nhỏ"/>
    <x v="0"/>
    <x v="1"/>
    <x v="144"/>
  </r>
  <r>
    <s v="[TXN169] "/>
    <s v=" Trà gừng "/>
    <x v="2"/>
    <n v="2"/>
    <n v="25000"/>
    <n v="50000"/>
    <s v="Nhỏ"/>
    <x v="1"/>
    <x v="2"/>
    <x v="145"/>
  </r>
  <r>
    <s v="[TXN170] "/>
    <s v=" Ép lựu "/>
    <x v="3"/>
    <n v="1"/>
    <n v="55000"/>
    <n v="55000"/>
    <s v="Trung bình"/>
    <x v="2"/>
    <x v="3"/>
    <x v="146"/>
  </r>
  <r>
    <s v="[TXN171] "/>
    <s v=" Cà phê trứng "/>
    <x v="0"/>
    <n v="2"/>
    <n v="55000"/>
    <n v="110000"/>
    <s v="Trung bình"/>
    <x v="0"/>
    <x v="0"/>
    <x v="147"/>
  </r>
  <r>
    <s v="[TXN172] "/>
    <s v=" Trà Earl Grey "/>
    <x v="2"/>
    <n v="3"/>
    <n v="45000"/>
    <n v="135000"/>
    <s v="Nhỏ"/>
    <x v="1"/>
    <x v="1"/>
    <x v="148"/>
  </r>
  <r>
    <s v="[TXN173] "/>
    <s v=" Bạc xỉu "/>
    <x v="0"/>
    <n v="1"/>
    <n v="35000"/>
    <n v="35000"/>
    <s v="Nhỏ"/>
    <x v="2"/>
    <x v="2"/>
    <x v="149"/>
  </r>
  <r>
    <s v="[TXN174] "/>
    <s v=" Trà đào "/>
    <x v="2"/>
    <n v="2"/>
    <n v="40000"/>
    <n v="80000"/>
    <s v="Nhỏ"/>
    <x v="0"/>
    <x v="3"/>
    <x v="150"/>
  </r>
  <r>
    <s v="[TXN175] "/>
    <s v=" Sinh tố bơ "/>
    <x v="1"/>
    <n v="3"/>
    <n v="55000"/>
    <n v="165000"/>
    <s v="Trung bình"/>
    <x v="1"/>
    <x v="0"/>
    <x v="151"/>
  </r>
  <r>
    <s v="[TXN176] "/>
    <s v=" Cà phê sữa "/>
    <x v="0"/>
    <n v="4"/>
    <n v="29000"/>
    <n v="116000"/>
    <s v="Nhỏ"/>
    <x v="2"/>
    <x v="1"/>
    <x v="124"/>
  </r>
  <r>
    <s v="[TXN177] "/>
    <s v=" Trà sữa thái đỏ "/>
    <x v="2"/>
    <n v="1"/>
    <n v="40000"/>
    <n v="40000"/>
    <s v="Nhỏ"/>
    <x v="0"/>
    <x v="2"/>
    <x v="152"/>
  </r>
  <r>
    <s v="[TXN178] "/>
    <s v=" Ép dứa "/>
    <x v="3"/>
    <n v="2"/>
    <n v="35000"/>
    <n v="70000"/>
    <s v="Nhỏ"/>
    <x v="1"/>
    <x v="3"/>
    <x v="153"/>
  </r>
  <r>
    <s v="[TXN179] "/>
    <s v=" Cà phê đen đá "/>
    <x v="0"/>
    <n v="5"/>
    <n v="25000"/>
    <n v="125000"/>
    <s v="Nhỏ"/>
    <x v="2"/>
    <x v="0"/>
    <x v="154"/>
  </r>
  <r>
    <s v="[TXN180] "/>
    <s v=" Trà lài hạt sen "/>
    <x v="2"/>
    <n v="2"/>
    <n v="45000"/>
    <n v="90000"/>
    <s v="Nhỏ"/>
    <x v="0"/>
    <x v="1"/>
    <x v="155"/>
  </r>
  <r>
    <s v="[TXN181] "/>
    <s v=" Sinh tố xoài "/>
    <x v="1"/>
    <n v="1"/>
    <n v="50000"/>
    <n v="50000"/>
    <s v="Trung bình"/>
    <x v="1"/>
    <x v="2"/>
    <x v="156"/>
  </r>
  <r>
    <s v="[TXN182] "/>
    <s v=" Mocha đá "/>
    <x v="0"/>
    <n v="2"/>
    <n v="48000"/>
    <n v="96000"/>
    <s v="Nhỏ"/>
    <x v="2"/>
    <x v="3"/>
    <x v="157"/>
  </r>
  <r>
    <s v="[TXN183] "/>
    <s v=" Trà vải "/>
    <x v="2"/>
    <n v="3"/>
    <n v="42000"/>
    <n v="126000"/>
    <s v="Nhỏ"/>
    <x v="0"/>
    <x v="0"/>
    <x v="158"/>
  </r>
  <r>
    <s v="[TXN184] "/>
    <s v=" Ép bưởi hồng "/>
    <x v="3"/>
    <n v="1"/>
    <n v="38000"/>
    <n v="38000"/>
    <s v="Nhỏ"/>
    <x v="1"/>
    <x v="1"/>
    <x v="159"/>
  </r>
  <r>
    <s v="[TXN185] "/>
    <s v=" Cappuccino nóng "/>
    <x v="0"/>
    <n v="2"/>
    <n v="45000"/>
    <n v="90000"/>
    <s v="Nhỏ"/>
    <x v="2"/>
    <x v="2"/>
    <x v="160"/>
  </r>
  <r>
    <s v="[TXN186] "/>
    <s v=" Trà thảo mộc "/>
    <x v="2"/>
    <n v="4"/>
    <n v="40000"/>
    <n v="160000"/>
    <s v="Nhỏ"/>
    <x v="0"/>
    <x v="3"/>
    <x v="161"/>
  </r>
  <r>
    <s v="[TXN187] "/>
    <s v=" Sinh tố dâu tây "/>
    <x v="1"/>
    <n v="2"/>
    <n v="55000"/>
    <n v="110000"/>
    <s v="Trung bình"/>
    <x v="1"/>
    <x v="0"/>
    <x v="162"/>
  </r>
  <r>
    <s v="[TXN188] "/>
    <s v=" Ép cà rốt "/>
    <x v="3"/>
    <n v="3"/>
    <n v="35000"/>
    <n v="105000"/>
    <s v="Nhỏ"/>
    <x v="2"/>
    <x v="1"/>
    <x v="163"/>
  </r>
  <r>
    <s v="[TXN189] "/>
    <s v=" Cà phê cốt dừa "/>
    <x v="0"/>
    <n v="1"/>
    <n v="45000"/>
    <n v="45000"/>
    <s v="Nhỏ"/>
    <x v="0"/>
    <x v="2"/>
    <x v="164"/>
  </r>
  <r>
    <s v="[TXN190] "/>
    <s v=" Trà nhãn "/>
    <x v="2"/>
    <n v="2"/>
    <n v="45000"/>
    <n v="90000"/>
    <s v="Nhỏ"/>
    <x v="1"/>
    <x v="3"/>
    <x v="165"/>
  </r>
  <r>
    <s v="[TXN191] "/>
    <s v=" Ép chanh dây "/>
    <x v="3"/>
    <n v="4"/>
    <n v="30000"/>
    <n v="120000"/>
    <s v="Nhỏ"/>
    <x v="2"/>
    <x v="0"/>
    <x v="166"/>
  </r>
  <r>
    <s v="[TXN192] "/>
    <s v=" Cà phê muối "/>
    <x v="0"/>
    <n v="2"/>
    <n v="40000"/>
    <n v="80000"/>
    <s v="Nhỏ"/>
    <x v="0"/>
    <x v="1"/>
    <x v="167"/>
  </r>
  <r>
    <s v="[TXN193] "/>
    <s v=" Trà ô long "/>
    <x v="2"/>
    <n v="1"/>
    <n v="38000"/>
    <n v="38000"/>
    <s v="Nhỏ"/>
    <x v="1"/>
    <x v="2"/>
    <x v="168"/>
  </r>
  <r>
    <s v="[TXN194] "/>
    <s v=" Sinh tố mít "/>
    <x v="1"/>
    <n v="3"/>
    <n v="50000"/>
    <n v="150000"/>
    <s v="Trung bình"/>
    <x v="2"/>
    <x v="3"/>
    <x v="169"/>
  </r>
  <r>
    <s v="[TXN195] "/>
    <s v=" Espresso "/>
    <x v="0"/>
    <n v="5"/>
    <n v="30000"/>
    <n v="150000"/>
    <s v="Nhỏ"/>
    <x v="0"/>
    <x v="0"/>
    <x v="170"/>
  </r>
  <r>
    <s v="[TXN196] "/>
    <s v=" Trà hoa cúc "/>
    <x v="2"/>
    <n v="2"/>
    <n v="35000"/>
    <n v="70000"/>
    <s v="Nhỏ"/>
    <x v="1"/>
    <x v="1"/>
    <x v="171"/>
  </r>
  <r>
    <s v="[TXN197] "/>
    <s v=" Nước cam ép "/>
    <x v="3"/>
    <n v="4"/>
    <n v="30000"/>
    <n v="120000"/>
    <s v="Nhỏ"/>
    <x v="2"/>
    <x v="2"/>
    <x v="172"/>
  </r>
  <r>
    <s v="[TXN198] "/>
    <s v=" Sinh tố kiwi "/>
    <x v="1"/>
    <n v="1"/>
    <n v="55000"/>
    <n v="55000"/>
    <s v="Trung bình"/>
    <x v="0"/>
    <x v="3"/>
    <x v="173"/>
  </r>
  <r>
    <s v="[TXN199] "/>
    <s v=" Macchiato "/>
    <x v="0"/>
    <n v="2"/>
    <n v="45000"/>
    <n v="90000"/>
    <s v="Nhỏ"/>
    <x v="1"/>
    <x v="0"/>
    <x v="174"/>
  </r>
  <r>
    <s v="[TXN200] "/>
    <s v=" Trà chanh dây "/>
    <x v="2"/>
    <n v="3"/>
    <n v="30000"/>
    <n v="90000"/>
    <s v="Nhỏ"/>
    <x v="2"/>
    <x v="1"/>
    <x v="175"/>
  </r>
  <r>
    <s v="[TXN201] "/>
    <s v=" Ép dưa hấu "/>
    <x v="3"/>
    <n v="2"/>
    <n v="35000"/>
    <n v="70000"/>
    <s v="Nhỏ"/>
    <x v="0"/>
    <x v="2"/>
    <x v="176"/>
  </r>
  <r>
    <s v="[TXN202] "/>
    <s v=" Cà phê Arabica "/>
    <x v="0"/>
    <n v="1"/>
    <n v="55000"/>
    <n v="55000"/>
    <s v="Trung bình"/>
    <x v="1"/>
    <x v="3"/>
    <x v="177"/>
  </r>
  <r>
    <s v="[TXN203] "/>
    <s v=" Trà sen vàng "/>
    <x v="2"/>
    <n v="4"/>
    <n v="45000"/>
    <n v="180000"/>
    <s v="Nhỏ"/>
    <x v="2"/>
    <x v="0"/>
    <x v="178"/>
  </r>
  <r>
    <s v="[TXN204] "/>
    <s v=" Sinh tố sapoche "/>
    <x v="1"/>
    <n v="2"/>
    <n v="50000"/>
    <n v="100000"/>
    <s v="Trung bình"/>
    <x v="0"/>
    <x v="1"/>
    <x v="179"/>
  </r>
  <r>
    <s v="[TXN205] "/>
    <s v=" Bạc xỉu đá "/>
    <x v="0"/>
    <n v="3"/>
    <n v="35000"/>
    <n v="105000"/>
    <s v="Nhỏ"/>
    <x v="1"/>
    <x v="2"/>
    <x v="180"/>
  </r>
  <r>
    <s v="[TXN206] "/>
    <s v=" Trà vải kem cheese "/>
    <x v="2"/>
    <n v="1"/>
    <n v="55000"/>
    <n v="55000"/>
    <s v="Trung bình"/>
    <x v="2"/>
    <x v="3"/>
    <x v="181"/>
  </r>
  <r>
    <s v="[TXN207] "/>
    <s v=" Ép táo xanh "/>
    <x v="3"/>
    <n v="5"/>
    <n v="40000"/>
    <n v="200000"/>
    <s v="Nhỏ"/>
    <x v="0"/>
    <x v="0"/>
    <x v="182"/>
  </r>
  <r>
    <s v="[TXN208] "/>
    <s v=" Americano đá "/>
    <x v="0"/>
    <n v="2"/>
    <n v="32000"/>
    <n v="64000"/>
    <s v="Nhỏ"/>
    <x v="1"/>
    <x v="1"/>
    <x v="183"/>
  </r>
  <r>
    <s v="[TXN209] "/>
    <s v=" Trà gừng mật ong "/>
    <x v="2"/>
    <n v="1"/>
    <n v="30000"/>
    <n v="30000"/>
    <s v="Nhỏ"/>
    <x v="2"/>
    <x v="2"/>
    <x v="184"/>
  </r>
  <r>
    <s v="[TXN210] "/>
    <s v=" Sinh tố chuối "/>
    <x v="1"/>
    <n v="3"/>
    <n v="40000"/>
    <n v="120000"/>
    <s v="Nhỏ"/>
    <x v="0"/>
    <x v="3"/>
    <x v="185"/>
  </r>
  <r>
    <s v="[TXN211] "/>
    <s v=" Cà phê sữa tươi "/>
    <x v="0"/>
    <n v="4"/>
    <n v="35000"/>
    <n v="140000"/>
    <s v="Nhỏ"/>
    <x v="1"/>
    <x v="0"/>
    <x v="186"/>
  </r>
  <r>
    <s v="[TXN212] "/>
    <s v=" Trà đào cam sả "/>
    <x v="2"/>
    <n v="2"/>
    <n v="45000"/>
    <n v="90000"/>
    <s v="Nhỏ"/>
    <x v="2"/>
    <x v="1"/>
    <x v="187"/>
  </r>
  <r>
    <s v="[TXN213] "/>
    <s v=" Ép ổi xá lị "/>
    <x v="3"/>
    <n v="1"/>
    <n v="30000"/>
    <n v="30000"/>
    <s v="Nhỏ"/>
    <x v="0"/>
    <x v="2"/>
    <x v="188"/>
  </r>
  <r>
    <s v="[TXN214] "/>
    <s v=" Cold Brew cam sả "/>
    <x v="0"/>
    <n v="2"/>
    <n v="55000"/>
    <n v="110000"/>
    <s v="Trung bình"/>
    <x v="1"/>
    <x v="3"/>
    <x v="189"/>
  </r>
  <r>
    <s v="[TXN215] "/>
    <s v=" Trà xanh lài "/>
    <x v="2"/>
    <n v="3"/>
    <n v="35000"/>
    <n v="105000"/>
    <s v="Nhỏ"/>
    <x v="2"/>
    <x v="0"/>
    <x v="190"/>
  </r>
  <r>
    <s v="[TXN216] "/>
    <s v=" Sinh tố việt quất "/>
    <x v="1"/>
    <n v="1"/>
    <n v="60000"/>
    <n v="60000"/>
    <s v="Trung bình"/>
    <x v="0"/>
    <x v="1"/>
    <x v="191"/>
  </r>
  <r>
    <s v="[TXN217] "/>
    <s v=" Latte Matcha "/>
    <x v="2"/>
    <n v="2"/>
    <n v="48000"/>
    <n v="96000"/>
    <s v="Nhỏ"/>
    <x v="1"/>
    <x v="2"/>
    <x v="192"/>
  </r>
  <r>
    <s v="[TXN218] "/>
    <s v=" Trà túi lọc "/>
    <x v="2"/>
    <n v="4"/>
    <n v="20000"/>
    <n v="80000"/>
    <s v="Nhỏ"/>
    <x v="2"/>
    <x v="3"/>
    <x v="193"/>
  </r>
  <r>
    <s v="[TXN219] "/>
    <s v=" Ép lựu đỏ "/>
    <x v="3"/>
    <n v="1"/>
    <n v="55000"/>
    <n v="55000"/>
    <s v="Trung bình"/>
    <x v="0"/>
    <x v="0"/>
    <x v="194"/>
  </r>
  <r>
    <s v="[TXN220] "/>
    <s v=" Cà phê trứng nóng "/>
    <x v="0"/>
    <n v="2"/>
    <n v="55000"/>
    <n v="110000"/>
    <s v="Trung bình"/>
    <x v="1"/>
    <x v="1"/>
    <x v="195"/>
  </r>
  <r>
    <s v="[TXN221] "/>
    <s v=" Trà Earl Grey "/>
    <x v="2"/>
    <n v="3"/>
    <n v="45000"/>
    <n v="135000"/>
    <s v="Nhỏ"/>
    <x v="2"/>
    <x v="2"/>
    <x v="196"/>
  </r>
  <r>
    <s v="[TXN222] "/>
    <s v=" Sinh tố xoài dứa "/>
    <x v="1"/>
    <n v="1"/>
    <n v="52000"/>
    <n v="52000"/>
    <s v="Trung bình"/>
    <x v="0"/>
    <x v="3"/>
    <x v="1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41C17-209F-4650-8FA7-24276448501C}"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1" firstDataRow="2" firstDataCol="1" rowPageCount="1" colPageCount="1"/>
  <pivotFields count="10">
    <pivotField showAll="0"/>
    <pivotField showAll="0"/>
    <pivotField axis="axisCol" showAll="0">
      <items count="6">
        <item x="0"/>
        <item x="4"/>
        <item x="3"/>
        <item x="1"/>
        <item x="2"/>
        <item t="default"/>
      </items>
    </pivotField>
    <pivotField showAll="0"/>
    <pivotField showAll="0"/>
    <pivotField dataField="1" showAll="0"/>
    <pivotField showAll="0"/>
    <pivotField axis="axisRow" showAll="0">
      <items count="4">
        <item x="2"/>
        <item x="0"/>
        <item x="1"/>
        <item t="default"/>
      </items>
    </pivotField>
    <pivotField axis="axisPage" showAll="0">
      <items count="5">
        <item x="2"/>
        <item x="0"/>
        <item x="3"/>
        <item x="1"/>
        <item t="default"/>
      </items>
    </pivotField>
    <pivotField numFmtId="164" showAll="0">
      <items count="199">
        <item x="61"/>
        <item x="1"/>
        <item x="32"/>
        <item x="2"/>
        <item x="33"/>
        <item x="63"/>
        <item x="64"/>
        <item x="4"/>
        <item x="35"/>
        <item x="5"/>
        <item x="36"/>
        <item x="66"/>
        <item x="67"/>
        <item x="7"/>
        <item x="38"/>
        <item x="39"/>
        <item x="69"/>
        <item x="0"/>
        <item x="3"/>
        <item x="6"/>
        <item x="8"/>
        <item x="9"/>
        <item x="10"/>
        <item x="70"/>
        <item x="12"/>
        <item x="13"/>
        <item x="14"/>
        <item x="15"/>
        <item x="16"/>
        <item x="17"/>
        <item x="18"/>
        <item x="19"/>
        <item x="20"/>
        <item x="21"/>
        <item x="22"/>
        <item x="23"/>
        <item x="24"/>
        <item x="25"/>
        <item x="26"/>
        <item x="27"/>
        <item x="28"/>
        <item x="29"/>
        <item x="30"/>
        <item x="31"/>
        <item x="34"/>
        <item x="37"/>
        <item x="40"/>
        <item x="41"/>
        <item x="43"/>
        <item x="44"/>
        <item x="45"/>
        <item x="46"/>
        <item x="47"/>
        <item x="48"/>
        <item x="49"/>
        <item x="50"/>
        <item x="51"/>
        <item x="52"/>
        <item x="53"/>
        <item x="54"/>
        <item x="55"/>
        <item x="56"/>
        <item x="57"/>
        <item x="58"/>
        <item x="59"/>
        <item x="60"/>
        <item x="62"/>
        <item x="65"/>
        <item x="68"/>
        <item x="11"/>
        <item x="42"/>
        <item x="71"/>
        <item x="72"/>
        <item x="73"/>
        <item x="74"/>
        <item x="75"/>
        <item x="76"/>
        <item x="77"/>
        <item x="78"/>
        <item x="79"/>
        <item x="80"/>
        <item x="81"/>
        <item x="82"/>
        <item x="83"/>
        <item x="84"/>
        <item x="85"/>
        <item x="86"/>
        <item x="87"/>
        <item x="88"/>
        <item x="89"/>
        <item x="90"/>
        <item x="91"/>
        <item x="122"/>
        <item x="151"/>
        <item x="94"/>
        <item x="97"/>
        <item x="99"/>
        <item x="102"/>
        <item x="103"/>
        <item x="104"/>
        <item x="105"/>
        <item x="106"/>
        <item x="107"/>
        <item x="108"/>
        <item x="109"/>
        <item x="110"/>
        <item x="111"/>
        <item x="112"/>
        <item x="113"/>
        <item x="114"/>
        <item x="115"/>
        <item x="116"/>
        <item x="117"/>
        <item x="118"/>
        <item x="119"/>
        <item x="120"/>
        <item x="121"/>
        <item x="92"/>
        <item x="123"/>
        <item x="182"/>
        <item x="126"/>
        <item x="129"/>
        <item x="132"/>
        <item x="134"/>
        <item x="135"/>
        <item x="136"/>
        <item x="137"/>
        <item x="138"/>
        <item x="139"/>
        <item x="140"/>
        <item x="141"/>
        <item x="142"/>
        <item x="143"/>
        <item x="144"/>
        <item x="145"/>
        <item x="146"/>
        <item x="147"/>
        <item x="148"/>
        <item x="149"/>
        <item x="150"/>
        <item x="93"/>
        <item x="124"/>
        <item x="152"/>
        <item x="183"/>
        <item x="154"/>
        <item x="157"/>
        <item x="160"/>
        <item x="162"/>
        <item x="163"/>
        <item x="164"/>
        <item x="165"/>
        <item x="166"/>
        <item x="167"/>
        <item x="168"/>
        <item x="169"/>
        <item x="170"/>
        <item x="171"/>
        <item x="172"/>
        <item x="173"/>
        <item x="174"/>
        <item x="175"/>
        <item x="176"/>
        <item x="177"/>
        <item x="178"/>
        <item x="179"/>
        <item x="180"/>
        <item x="181"/>
        <item x="125"/>
        <item x="153"/>
        <item x="184"/>
        <item x="187"/>
        <item x="190"/>
        <item x="193"/>
        <item x="194"/>
        <item x="195"/>
        <item x="196"/>
        <item x="197"/>
        <item x="95"/>
        <item x="185"/>
        <item x="96"/>
        <item x="127"/>
        <item x="155"/>
        <item x="186"/>
        <item x="128"/>
        <item x="156"/>
        <item x="98"/>
        <item x="188"/>
        <item x="130"/>
        <item x="158"/>
        <item x="189"/>
        <item x="100"/>
        <item x="131"/>
        <item x="159"/>
        <item x="101"/>
        <item x="191"/>
        <item x="133"/>
        <item x="161"/>
        <item x="192"/>
        <item t="default"/>
      </items>
    </pivotField>
  </pivotFields>
  <rowFields count="1">
    <field x="7"/>
  </rowFields>
  <rowItems count="4">
    <i>
      <x/>
    </i>
    <i>
      <x v="1"/>
    </i>
    <i>
      <x v="2"/>
    </i>
    <i t="grand">
      <x/>
    </i>
  </rowItems>
  <colFields count="1">
    <field x="2"/>
  </colFields>
  <colItems count="6">
    <i>
      <x/>
    </i>
    <i>
      <x v="1"/>
    </i>
    <i>
      <x v="2"/>
    </i>
    <i>
      <x v="3"/>
    </i>
    <i>
      <x v="4"/>
    </i>
    <i t="grand">
      <x/>
    </i>
  </colItems>
  <pageFields count="1">
    <pageField fld="8" hier="-1"/>
  </pageFields>
  <dataFields count="1">
    <dataField name="Sum of Doanh Thu"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y_bán" xr10:uid="{593D2D69-5666-467F-8894-37DB32E3E196}" sourceName="Ngày bán">
  <pivotTables>
    <pivotTable tabId="2" name="PivotTable1"/>
  </pivotTables>
  <data>
    <tabular pivotCacheId="919290331">
      <items count="198">
        <i x="61" s="1"/>
        <i x="1" s="1"/>
        <i x="32" s="1"/>
        <i x="2" s="1"/>
        <i x="33" s="1"/>
        <i x="63" s="1"/>
        <i x="64" s="1"/>
        <i x="4" s="1"/>
        <i x="35" s="1"/>
        <i x="5" s="1"/>
        <i x="36" s="1"/>
        <i x="66" s="1"/>
        <i x="67" s="1"/>
        <i x="7" s="1"/>
        <i x="38" s="1"/>
        <i x="39" s="1"/>
        <i x="69" s="1"/>
        <i x="0" s="1"/>
        <i x="3" s="1"/>
        <i x="6" s="1"/>
        <i x="8" s="1"/>
        <i x="9" s="1"/>
        <i x="10" s="1"/>
        <i x="70" s="1"/>
        <i x="12" s="1"/>
        <i x="13" s="1"/>
        <i x="14" s="1"/>
        <i x="15" s="1"/>
        <i x="16" s="1"/>
        <i x="17" s="1"/>
        <i x="18" s="1"/>
        <i x="19" s="1"/>
        <i x="20" s="1"/>
        <i x="21" s="1"/>
        <i x="22" s="1"/>
        <i x="23" s="1"/>
        <i x="24" s="1"/>
        <i x="25" s="1"/>
        <i x="26" s="1"/>
        <i x="27" s="1"/>
        <i x="28" s="1"/>
        <i x="29" s="1"/>
        <i x="30" s="1"/>
        <i x="31" s="1"/>
        <i x="34" s="1"/>
        <i x="37" s="1"/>
        <i x="40" s="1"/>
        <i x="41" s="1"/>
        <i x="43" s="1"/>
        <i x="44" s="1"/>
        <i x="45" s="1"/>
        <i x="46" s="1"/>
        <i x="47" s="1"/>
        <i x="48" s="1"/>
        <i x="49" s="1"/>
        <i x="50" s="1"/>
        <i x="51" s="1"/>
        <i x="52" s="1"/>
        <i x="53" s="1"/>
        <i x="54" s="1"/>
        <i x="55" s="1"/>
        <i x="56" s="1"/>
        <i x="57" s="1"/>
        <i x="58" s="1"/>
        <i x="59" s="1"/>
        <i x="60" s="1"/>
        <i x="62" s="1"/>
        <i x="65" s="1"/>
        <i x="68" s="1"/>
        <i x="11" s="1"/>
        <i x="42" s="1"/>
        <i x="71" s="1"/>
        <i x="72" s="1"/>
        <i x="73" s="1"/>
        <i x="74" s="1"/>
        <i x="75" s="1"/>
        <i x="76" s="1"/>
        <i x="77" s="1"/>
        <i x="78" s="1"/>
        <i x="79" s="1"/>
        <i x="80" s="1"/>
        <i x="81" s="1"/>
        <i x="82" s="1"/>
        <i x="83" s="1"/>
        <i x="84" s="1"/>
        <i x="85" s="1"/>
        <i x="86" s="1"/>
        <i x="87" s="1"/>
        <i x="88" s="1"/>
        <i x="89" s="1"/>
        <i x="90" s="1"/>
        <i x="91" s="1"/>
        <i x="122" s="1"/>
        <i x="151" s="1"/>
        <i x="94" s="1"/>
        <i x="97" s="1"/>
        <i x="99" s="1"/>
        <i x="102" s="1"/>
        <i x="103" s="1"/>
        <i x="104" s="1"/>
        <i x="105" s="1"/>
        <i x="106" s="1"/>
        <i x="107" s="1"/>
        <i x="108" s="1"/>
        <i x="109" s="1"/>
        <i x="110" s="1"/>
        <i x="111" s="1"/>
        <i x="112" s="1"/>
        <i x="113" s="1"/>
        <i x="114" s="1"/>
        <i x="115" s="1"/>
        <i x="116" s="1"/>
        <i x="117" s="1"/>
        <i x="118" s="1"/>
        <i x="119" s="1"/>
        <i x="120" s="1"/>
        <i x="121" s="1"/>
        <i x="92" s="1"/>
        <i x="123" s="1"/>
        <i x="182" s="1"/>
        <i x="126" s="1"/>
        <i x="129" s="1"/>
        <i x="132" s="1"/>
        <i x="134" s="1"/>
        <i x="135" s="1"/>
        <i x="136" s="1"/>
        <i x="137" s="1"/>
        <i x="138" s="1"/>
        <i x="139" s="1"/>
        <i x="140" s="1"/>
        <i x="141" s="1"/>
        <i x="142" s="1"/>
        <i x="143" s="1"/>
        <i x="144" s="1"/>
        <i x="145" s="1"/>
        <i x="146" s="1"/>
        <i x="147" s="1"/>
        <i x="148" s="1"/>
        <i x="149" s="1"/>
        <i x="150" s="1"/>
        <i x="93" s="1"/>
        <i x="124" s="1"/>
        <i x="152" s="1"/>
        <i x="183" s="1"/>
        <i x="154" s="1"/>
        <i x="157" s="1"/>
        <i x="160" s="1"/>
        <i x="162" s="1"/>
        <i x="163" s="1"/>
        <i x="164" s="1"/>
        <i x="165" s="1"/>
        <i x="166" s="1"/>
        <i x="167" s="1"/>
        <i x="168" s="1"/>
        <i x="169" s="1"/>
        <i x="170" s="1"/>
        <i x="171" s="1"/>
        <i x="172" s="1"/>
        <i x="173" s="1"/>
        <i x="174" s="1"/>
        <i x="175" s="1"/>
        <i x="176" s="1"/>
        <i x="177" s="1"/>
        <i x="178" s="1"/>
        <i x="179" s="1"/>
        <i x="180" s="1"/>
        <i x="181" s="1"/>
        <i x="125" s="1"/>
        <i x="153" s="1"/>
        <i x="184" s="1"/>
        <i x="187" s="1"/>
        <i x="190" s="1"/>
        <i x="193" s="1"/>
        <i x="194" s="1"/>
        <i x="195" s="1"/>
        <i x="196" s="1"/>
        <i x="197" s="1"/>
        <i x="95" s="1"/>
        <i x="185" s="1"/>
        <i x="96" s="1"/>
        <i x="127" s="1"/>
        <i x="155" s="1"/>
        <i x="186" s="1"/>
        <i x="128" s="1"/>
        <i x="156" s="1"/>
        <i x="98" s="1"/>
        <i x="188" s="1"/>
        <i x="130" s="1"/>
        <i x="158" s="1"/>
        <i x="189" s="1"/>
        <i x="100" s="1"/>
        <i x="131" s="1"/>
        <i x="159" s="1"/>
        <i x="101" s="1"/>
        <i x="191" s="1"/>
        <i x="133" s="1"/>
        <i x="161" s="1"/>
        <i x="19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gày bán" xr10:uid="{295A62E2-688D-42CE-9130-41445FDB4296}" cache="Slicer_Ngày_bán" caption="Ngày bán"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1599-3CAA-454D-B94A-6B1A68FB0013}">
  <dimension ref="A1:G11"/>
  <sheetViews>
    <sheetView workbookViewId="0">
      <selection activeCell="B11" sqref="B11"/>
    </sheetView>
  </sheetViews>
  <sheetFormatPr defaultRowHeight="12.75" x14ac:dyDescent="0.2"/>
  <cols>
    <col min="1" max="1" width="18.140625" bestFit="1" customWidth="1"/>
    <col min="2" max="2" width="17" bestFit="1" customWidth="1"/>
    <col min="3" max="3" width="15.5703125" bestFit="1" customWidth="1"/>
    <col min="4" max="4" width="8.7109375" bestFit="1" customWidth="1"/>
    <col min="5" max="6" width="8" bestFit="1" customWidth="1"/>
    <col min="7" max="7" width="11.7109375" bestFit="1" customWidth="1"/>
  </cols>
  <sheetData>
    <row r="1" spans="1:7" x14ac:dyDescent="0.2">
      <c r="A1" s="8" t="s">
        <v>3</v>
      </c>
      <c r="B1" t="s">
        <v>321</v>
      </c>
    </row>
    <row r="3" spans="1:7" x14ac:dyDescent="0.2">
      <c r="A3" s="8" t="s">
        <v>319</v>
      </c>
      <c r="B3" s="8" t="s">
        <v>320</v>
      </c>
    </row>
    <row r="4" spans="1:7" x14ac:dyDescent="0.2">
      <c r="A4" s="8" t="s">
        <v>317</v>
      </c>
      <c r="B4" t="s">
        <v>310</v>
      </c>
      <c r="C4" t="s">
        <v>314</v>
      </c>
      <c r="D4" t="s">
        <v>313</v>
      </c>
      <c r="E4" t="s">
        <v>311</v>
      </c>
      <c r="F4" t="s">
        <v>312</v>
      </c>
      <c r="G4" t="s">
        <v>318</v>
      </c>
    </row>
    <row r="5" spans="1:7" x14ac:dyDescent="0.2">
      <c r="A5" s="9" t="s">
        <v>9</v>
      </c>
      <c r="B5" s="10">
        <v>1437000</v>
      </c>
      <c r="C5" s="10"/>
      <c r="D5" s="10">
        <v>1270000</v>
      </c>
      <c r="E5" s="10">
        <v>1030000</v>
      </c>
      <c r="F5" s="10">
        <v>1766000</v>
      </c>
      <c r="G5" s="10">
        <v>5503000</v>
      </c>
    </row>
    <row r="6" spans="1:7" x14ac:dyDescent="0.2">
      <c r="A6" s="9" t="s">
        <v>5</v>
      </c>
      <c r="B6" s="10">
        <v>2213000</v>
      </c>
      <c r="C6" s="10">
        <v>100000</v>
      </c>
      <c r="D6" s="10">
        <v>1069000</v>
      </c>
      <c r="E6" s="10">
        <v>987000</v>
      </c>
      <c r="F6" s="10">
        <v>2081000</v>
      </c>
      <c r="G6" s="10">
        <v>6450000</v>
      </c>
    </row>
    <row r="7" spans="1:7" x14ac:dyDescent="0.2">
      <c r="A7" s="9" t="s">
        <v>7</v>
      </c>
      <c r="B7" s="10">
        <v>1965000</v>
      </c>
      <c r="C7" s="10"/>
      <c r="D7" s="10">
        <v>828000</v>
      </c>
      <c r="E7" s="10">
        <v>1266000</v>
      </c>
      <c r="F7" s="10">
        <v>1924000</v>
      </c>
      <c r="G7" s="10">
        <v>5983000</v>
      </c>
    </row>
    <row r="8" spans="1:7" x14ac:dyDescent="0.2">
      <c r="A8" s="9" t="s">
        <v>318</v>
      </c>
      <c r="B8" s="10">
        <v>5615000</v>
      </c>
      <c r="C8" s="10">
        <v>100000</v>
      </c>
      <c r="D8" s="10">
        <v>3167000</v>
      </c>
      <c r="E8" s="10">
        <v>3283000</v>
      </c>
      <c r="F8" s="10">
        <v>5771000</v>
      </c>
      <c r="G8" s="10">
        <v>17936000</v>
      </c>
    </row>
    <row r="11" spans="1:7" x14ac:dyDescent="0.2">
      <c r="A11"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01"/>
  <sheetViews>
    <sheetView tabSelected="1" topLeftCell="B1" workbookViewId="0">
      <selection activeCell="M5" sqref="M5"/>
    </sheetView>
  </sheetViews>
  <sheetFormatPr defaultColWidth="12.5703125" defaultRowHeight="15.75" customHeight="1" x14ac:dyDescent="0.2"/>
  <cols>
    <col min="1" max="1" width="13.7109375" customWidth="1"/>
    <col min="2" max="2" width="17.42578125" customWidth="1"/>
    <col min="3" max="3" width="17.7109375" customWidth="1"/>
    <col min="10" max="10" width="12.5703125" style="5"/>
    <col min="12" max="12" width="14.42578125" customWidth="1"/>
  </cols>
  <sheetData>
    <row r="1" spans="1:13" x14ac:dyDescent="0.2">
      <c r="A1" s="1" t="s">
        <v>212</v>
      </c>
      <c r="B1" s="1" t="s">
        <v>213</v>
      </c>
      <c r="C1" s="6" t="s">
        <v>309</v>
      </c>
      <c r="D1" s="1" t="s">
        <v>0</v>
      </c>
      <c r="E1" s="1" t="s">
        <v>1</v>
      </c>
      <c r="F1" s="6" t="s">
        <v>315</v>
      </c>
      <c r="G1" s="6" t="s">
        <v>316</v>
      </c>
      <c r="H1" s="1" t="s">
        <v>2</v>
      </c>
      <c r="I1" s="1" t="s">
        <v>3</v>
      </c>
      <c r="J1" s="3" t="s">
        <v>4</v>
      </c>
    </row>
    <row r="2" spans="1:13" x14ac:dyDescent="0.2">
      <c r="A2" s="2" t="s">
        <v>12</v>
      </c>
      <c r="B2" s="2" t="s">
        <v>214</v>
      </c>
      <c r="C2" s="7" t="s">
        <v>310</v>
      </c>
      <c r="D2" s="7">
        <v>2</v>
      </c>
      <c r="E2" s="2">
        <v>35000</v>
      </c>
      <c r="F2" s="2">
        <f t="shared" ref="F2:F33" si="0">(D2)*(E2)</f>
        <v>70000</v>
      </c>
      <c r="G2" s="2" t="str">
        <f t="shared" ref="G2:G33" si="1">IF(E2&gt;=100000,"Lớn",IF(E2&gt;=50000,"Trung bình","Nhỏ"))</f>
        <v>Nhỏ</v>
      </c>
      <c r="H2" s="2" t="s">
        <v>5</v>
      </c>
      <c r="I2" s="2" t="s">
        <v>6</v>
      </c>
      <c r="J2" s="4">
        <v>45200</v>
      </c>
      <c r="L2" t="s">
        <v>322</v>
      </c>
      <c r="M2">
        <f>SUMIF(H:H,"Cầu Giấy",F:F)</f>
        <v>6450000</v>
      </c>
    </row>
    <row r="3" spans="1:13" x14ac:dyDescent="0.2">
      <c r="A3" s="2" t="s">
        <v>13</v>
      </c>
      <c r="B3" s="2" t="s">
        <v>215</v>
      </c>
      <c r="C3" s="7" t="s">
        <v>311</v>
      </c>
      <c r="D3" s="2">
        <v>5</v>
      </c>
      <c r="E3" s="2">
        <v>55000</v>
      </c>
      <c r="F3" s="2">
        <f t="shared" si="0"/>
        <v>275000</v>
      </c>
      <c r="G3" s="2" t="str">
        <f t="shared" si="1"/>
        <v>Trung bình</v>
      </c>
      <c r="H3" s="2" t="s">
        <v>7</v>
      </c>
      <c r="I3" s="2" t="s">
        <v>8</v>
      </c>
      <c r="J3" s="4">
        <v>44967</v>
      </c>
      <c r="L3" t="s">
        <v>323</v>
      </c>
      <c r="M3">
        <v>76</v>
      </c>
    </row>
    <row r="4" spans="1:13" x14ac:dyDescent="0.2">
      <c r="A4" s="2" t="s">
        <v>14</v>
      </c>
      <c r="B4" s="2" t="s">
        <v>216</v>
      </c>
      <c r="C4" s="7" t="s">
        <v>310</v>
      </c>
      <c r="D4" s="7">
        <v>3</v>
      </c>
      <c r="E4" s="2">
        <v>25000</v>
      </c>
      <c r="F4" s="2">
        <f t="shared" si="0"/>
        <v>75000</v>
      </c>
      <c r="G4" s="2" t="str">
        <f t="shared" si="1"/>
        <v>Nhỏ</v>
      </c>
      <c r="H4" s="2" t="s">
        <v>9</v>
      </c>
      <c r="I4" s="2" t="s">
        <v>10</v>
      </c>
      <c r="J4" s="4">
        <v>44995</v>
      </c>
      <c r="L4" t="s">
        <v>324</v>
      </c>
      <c r="M4">
        <f>COUNTA(A:A)</f>
        <v>201</v>
      </c>
    </row>
    <row r="5" spans="1:13" x14ac:dyDescent="0.2">
      <c r="A5" s="2" t="s">
        <v>15</v>
      </c>
      <c r="B5" s="2" t="s">
        <v>217</v>
      </c>
      <c r="C5" s="7" t="s">
        <v>312</v>
      </c>
      <c r="D5" s="2">
        <v>1</v>
      </c>
      <c r="E5" s="2">
        <v>45000</v>
      </c>
      <c r="F5" s="2">
        <f t="shared" si="0"/>
        <v>45000</v>
      </c>
      <c r="G5" s="2" t="str">
        <f t="shared" si="1"/>
        <v>Nhỏ</v>
      </c>
      <c r="H5" s="2" t="s">
        <v>5</v>
      </c>
      <c r="I5" s="2" t="s">
        <v>6</v>
      </c>
      <c r="J5" s="4">
        <v>45203</v>
      </c>
    </row>
    <row r="6" spans="1:13" x14ac:dyDescent="0.2">
      <c r="A6" s="2" t="s">
        <v>16</v>
      </c>
      <c r="B6" s="2" t="s">
        <v>218</v>
      </c>
      <c r="C6" s="7" t="s">
        <v>313</v>
      </c>
      <c r="D6" s="2">
        <v>2</v>
      </c>
      <c r="E6" s="2">
        <v>30000</v>
      </c>
      <c r="F6" s="2">
        <f t="shared" si="0"/>
        <v>60000</v>
      </c>
      <c r="G6" s="2" t="str">
        <f t="shared" si="1"/>
        <v>Nhỏ</v>
      </c>
      <c r="H6" s="2" t="s">
        <v>7</v>
      </c>
      <c r="I6" s="2" t="s">
        <v>8</v>
      </c>
      <c r="J6" s="4">
        <v>45056</v>
      </c>
    </row>
    <row r="7" spans="1:13" x14ac:dyDescent="0.2">
      <c r="A7" s="2" t="s">
        <v>17</v>
      </c>
      <c r="B7" s="2" t="s">
        <v>219</v>
      </c>
      <c r="C7" s="7" t="s">
        <v>313</v>
      </c>
      <c r="D7" s="2">
        <v>1</v>
      </c>
      <c r="E7" s="2">
        <v>40000</v>
      </c>
      <c r="F7" s="2">
        <f t="shared" si="0"/>
        <v>40000</v>
      </c>
      <c r="G7" s="2" t="str">
        <f t="shared" si="1"/>
        <v>Nhỏ</v>
      </c>
      <c r="H7" s="2" t="s">
        <v>9</v>
      </c>
      <c r="I7" s="2" t="s">
        <v>11</v>
      </c>
      <c r="J7" s="4">
        <v>45087</v>
      </c>
    </row>
    <row r="8" spans="1:13" x14ac:dyDescent="0.2">
      <c r="A8" s="2" t="s">
        <v>18</v>
      </c>
      <c r="B8" s="2" t="s">
        <v>220</v>
      </c>
      <c r="C8" s="7" t="s">
        <v>310</v>
      </c>
      <c r="D8" s="2">
        <v>4</v>
      </c>
      <c r="E8" s="2">
        <v>29000</v>
      </c>
      <c r="F8" s="2">
        <f t="shared" si="0"/>
        <v>116000</v>
      </c>
      <c r="G8" s="2" t="str">
        <f t="shared" si="1"/>
        <v>Nhỏ</v>
      </c>
      <c r="H8" s="2" t="s">
        <v>5</v>
      </c>
      <c r="I8" s="2" t="s">
        <v>6</v>
      </c>
      <c r="J8" s="4">
        <v>45206</v>
      </c>
    </row>
    <row r="9" spans="1:13" x14ac:dyDescent="0.2">
      <c r="A9" s="2" t="s">
        <v>19</v>
      </c>
      <c r="B9" s="2" t="s">
        <v>221</v>
      </c>
      <c r="C9" s="7" t="s">
        <v>312</v>
      </c>
      <c r="D9" s="2">
        <v>2</v>
      </c>
      <c r="E9" s="2">
        <v>42000</v>
      </c>
      <c r="F9" s="2">
        <f t="shared" si="0"/>
        <v>84000</v>
      </c>
      <c r="G9" s="2" t="str">
        <f t="shared" si="1"/>
        <v>Nhỏ</v>
      </c>
      <c r="H9" s="2" t="s">
        <v>7</v>
      </c>
      <c r="I9" s="2" t="s">
        <v>10</v>
      </c>
      <c r="J9" s="4">
        <v>45148</v>
      </c>
    </row>
    <row r="10" spans="1:13" x14ac:dyDescent="0.2">
      <c r="A10" s="2" t="s">
        <v>20</v>
      </c>
      <c r="B10" s="2" t="s">
        <v>222</v>
      </c>
      <c r="C10" s="7" t="s">
        <v>311</v>
      </c>
      <c r="D10" s="2">
        <v>1</v>
      </c>
      <c r="E10" s="2">
        <v>50000</v>
      </c>
      <c r="F10" s="2">
        <f t="shared" si="0"/>
        <v>50000</v>
      </c>
      <c r="G10" s="2" t="str">
        <f t="shared" si="1"/>
        <v>Trung bình</v>
      </c>
      <c r="H10" s="2" t="s">
        <v>9</v>
      </c>
      <c r="I10" s="2" t="s">
        <v>8</v>
      </c>
      <c r="J10" s="4">
        <v>45208</v>
      </c>
    </row>
    <row r="11" spans="1:13" x14ac:dyDescent="0.2">
      <c r="A11" s="2" t="s">
        <v>21</v>
      </c>
      <c r="B11" s="2" t="s">
        <v>223</v>
      </c>
      <c r="C11" s="7" t="s">
        <v>310</v>
      </c>
      <c r="D11" s="2">
        <v>2</v>
      </c>
      <c r="E11" s="2">
        <v>45000</v>
      </c>
      <c r="F11" s="2">
        <f t="shared" si="0"/>
        <v>90000</v>
      </c>
      <c r="G11" s="2" t="str">
        <f t="shared" si="1"/>
        <v>Nhỏ</v>
      </c>
      <c r="H11" s="2" t="s">
        <v>5</v>
      </c>
      <c r="I11" s="2" t="s">
        <v>11</v>
      </c>
      <c r="J11" s="4">
        <v>45209</v>
      </c>
    </row>
    <row r="12" spans="1:13" x14ac:dyDescent="0.2">
      <c r="A12" s="2" t="s">
        <v>22</v>
      </c>
      <c r="B12" s="2" t="s">
        <v>224</v>
      </c>
      <c r="C12" s="7" t="s">
        <v>310</v>
      </c>
      <c r="D12" s="2">
        <v>1</v>
      </c>
      <c r="E12" s="2">
        <v>48000</v>
      </c>
      <c r="F12" s="2">
        <f t="shared" si="0"/>
        <v>48000</v>
      </c>
      <c r="G12" s="2" t="str">
        <f t="shared" si="1"/>
        <v>Nhỏ</v>
      </c>
      <c r="H12" s="2" t="s">
        <v>7</v>
      </c>
      <c r="I12" s="2" t="s">
        <v>6</v>
      </c>
      <c r="J12" s="4">
        <v>45210</v>
      </c>
    </row>
    <row r="13" spans="1:13" x14ac:dyDescent="0.2">
      <c r="A13" s="2" t="s">
        <v>23</v>
      </c>
      <c r="B13" s="2" t="s">
        <v>225</v>
      </c>
      <c r="C13" s="7" t="s">
        <v>312</v>
      </c>
      <c r="D13" s="2">
        <v>3</v>
      </c>
      <c r="E13" s="2">
        <v>35000</v>
      </c>
      <c r="F13" s="2">
        <f t="shared" si="0"/>
        <v>105000</v>
      </c>
      <c r="G13" s="2" t="str">
        <f t="shared" si="1"/>
        <v>Nhỏ</v>
      </c>
      <c r="H13" s="2" t="s">
        <v>9</v>
      </c>
      <c r="I13" s="2" t="s">
        <v>8</v>
      </c>
      <c r="J13" s="4">
        <v>45270</v>
      </c>
    </row>
    <row r="14" spans="1:13" x14ac:dyDescent="0.2">
      <c r="A14" s="2" t="s">
        <v>24</v>
      </c>
      <c r="B14" s="2" t="s">
        <v>226</v>
      </c>
      <c r="C14" s="7" t="s">
        <v>313</v>
      </c>
      <c r="D14" s="2">
        <v>2</v>
      </c>
      <c r="E14" s="2">
        <v>38000</v>
      </c>
      <c r="F14" s="2">
        <f t="shared" si="0"/>
        <v>76000</v>
      </c>
      <c r="G14" s="2" t="str">
        <f t="shared" si="1"/>
        <v>Nhỏ</v>
      </c>
      <c r="H14" s="2" t="s">
        <v>5</v>
      </c>
      <c r="I14" s="2" t="s">
        <v>10</v>
      </c>
      <c r="J14" s="4">
        <v>45212</v>
      </c>
    </row>
    <row r="15" spans="1:13" x14ac:dyDescent="0.2">
      <c r="A15" s="2" t="s">
        <v>25</v>
      </c>
      <c r="B15" s="2" t="s">
        <v>214</v>
      </c>
      <c r="C15" s="7" t="s">
        <v>310</v>
      </c>
      <c r="D15" s="2">
        <v>5</v>
      </c>
      <c r="E15" s="2">
        <v>35000</v>
      </c>
      <c r="F15" s="2">
        <f t="shared" si="0"/>
        <v>175000</v>
      </c>
      <c r="G15" s="2" t="str">
        <f t="shared" si="1"/>
        <v>Nhỏ</v>
      </c>
      <c r="H15" s="2" t="s">
        <v>7</v>
      </c>
      <c r="I15" s="2" t="s">
        <v>11</v>
      </c>
      <c r="J15" s="4">
        <v>45213</v>
      </c>
    </row>
    <row r="16" spans="1:13" x14ac:dyDescent="0.2">
      <c r="A16" s="2" t="s">
        <v>26</v>
      </c>
      <c r="B16" s="2" t="s">
        <v>227</v>
      </c>
      <c r="C16" s="7" t="s">
        <v>312</v>
      </c>
      <c r="D16" s="2">
        <v>1</v>
      </c>
      <c r="E16" s="2">
        <v>40000</v>
      </c>
      <c r="F16" s="2">
        <f t="shared" si="0"/>
        <v>40000</v>
      </c>
      <c r="G16" s="2" t="str">
        <f t="shared" si="1"/>
        <v>Nhỏ</v>
      </c>
      <c r="H16" s="2" t="s">
        <v>9</v>
      </c>
      <c r="I16" s="2" t="s">
        <v>6</v>
      </c>
      <c r="J16" s="4">
        <v>45214</v>
      </c>
    </row>
    <row r="17" spans="1:10" x14ac:dyDescent="0.2">
      <c r="A17" s="2" t="s">
        <v>27</v>
      </c>
      <c r="B17" s="2" t="s">
        <v>228</v>
      </c>
      <c r="C17" s="7" t="s">
        <v>311</v>
      </c>
      <c r="D17" s="2">
        <v>3</v>
      </c>
      <c r="E17" s="2">
        <v>55000</v>
      </c>
      <c r="F17" s="2">
        <f t="shared" si="0"/>
        <v>165000</v>
      </c>
      <c r="G17" s="2" t="str">
        <f t="shared" si="1"/>
        <v>Trung bình</v>
      </c>
      <c r="H17" s="2" t="s">
        <v>5</v>
      </c>
      <c r="I17" s="2" t="s">
        <v>8</v>
      </c>
      <c r="J17" s="4">
        <v>45215</v>
      </c>
    </row>
    <row r="18" spans="1:10" x14ac:dyDescent="0.2">
      <c r="A18" s="2" t="s">
        <v>28</v>
      </c>
      <c r="B18" s="2" t="s">
        <v>216</v>
      </c>
      <c r="C18" s="7" t="s">
        <v>310</v>
      </c>
      <c r="D18" s="2">
        <v>10</v>
      </c>
      <c r="E18" s="2">
        <v>25000</v>
      </c>
      <c r="F18" s="2">
        <f t="shared" si="0"/>
        <v>250000</v>
      </c>
      <c r="G18" s="2" t="str">
        <f t="shared" si="1"/>
        <v>Nhỏ</v>
      </c>
      <c r="H18" s="2" t="s">
        <v>7</v>
      </c>
      <c r="I18" s="2" t="s">
        <v>10</v>
      </c>
      <c r="J18" s="4">
        <v>45216</v>
      </c>
    </row>
    <row r="19" spans="1:10" x14ac:dyDescent="0.2">
      <c r="A19" s="2" t="s">
        <v>29</v>
      </c>
      <c r="B19" s="2" t="s">
        <v>217</v>
      </c>
      <c r="C19" s="7" t="s">
        <v>312</v>
      </c>
      <c r="D19" s="2">
        <v>2</v>
      </c>
      <c r="E19" s="2">
        <v>45000</v>
      </c>
      <c r="F19" s="2">
        <f t="shared" si="0"/>
        <v>90000</v>
      </c>
      <c r="G19" s="2" t="str">
        <f t="shared" si="1"/>
        <v>Nhỏ</v>
      </c>
      <c r="H19" s="2" t="s">
        <v>9</v>
      </c>
      <c r="I19" s="2" t="s">
        <v>11</v>
      </c>
      <c r="J19" s="4">
        <v>45217</v>
      </c>
    </row>
    <row r="20" spans="1:10" x14ac:dyDescent="0.2">
      <c r="A20" s="2" t="s">
        <v>30</v>
      </c>
      <c r="B20" s="2" t="s">
        <v>229</v>
      </c>
      <c r="C20" s="7" t="s">
        <v>313</v>
      </c>
      <c r="D20" s="2">
        <v>4</v>
      </c>
      <c r="E20" s="2">
        <v>25000</v>
      </c>
      <c r="F20" s="2">
        <f t="shared" si="0"/>
        <v>100000</v>
      </c>
      <c r="G20" s="2" t="str">
        <f t="shared" si="1"/>
        <v>Nhỏ</v>
      </c>
      <c r="H20" s="2" t="s">
        <v>5</v>
      </c>
      <c r="I20" s="2" t="s">
        <v>6</v>
      </c>
      <c r="J20" s="4">
        <v>45218</v>
      </c>
    </row>
    <row r="21" spans="1:10" x14ac:dyDescent="0.2">
      <c r="A21" s="2" t="s">
        <v>31</v>
      </c>
      <c r="B21" s="2" t="s">
        <v>230</v>
      </c>
      <c r="C21" s="7" t="s">
        <v>313</v>
      </c>
      <c r="D21" s="2">
        <v>1</v>
      </c>
      <c r="E21" s="2">
        <v>40000</v>
      </c>
      <c r="F21" s="2">
        <f t="shared" si="0"/>
        <v>40000</v>
      </c>
      <c r="G21" s="2" t="str">
        <f t="shared" si="1"/>
        <v>Nhỏ</v>
      </c>
      <c r="H21" s="2" t="s">
        <v>7</v>
      </c>
      <c r="I21" s="2" t="s">
        <v>8</v>
      </c>
      <c r="J21" s="4">
        <v>45219</v>
      </c>
    </row>
    <row r="22" spans="1:10" x14ac:dyDescent="0.2">
      <c r="A22" s="2" t="s">
        <v>32</v>
      </c>
      <c r="B22" s="2" t="s">
        <v>220</v>
      </c>
      <c r="C22" s="7" t="s">
        <v>310</v>
      </c>
      <c r="D22" s="2">
        <v>2</v>
      </c>
      <c r="E22" s="2">
        <v>29000</v>
      </c>
      <c r="F22" s="2">
        <f t="shared" si="0"/>
        <v>58000</v>
      </c>
      <c r="G22" s="2" t="str">
        <f t="shared" si="1"/>
        <v>Nhỏ</v>
      </c>
      <c r="H22" s="2" t="s">
        <v>9</v>
      </c>
      <c r="I22" s="2" t="s">
        <v>10</v>
      </c>
      <c r="J22" s="4">
        <v>45220</v>
      </c>
    </row>
    <row r="23" spans="1:10" x14ac:dyDescent="0.2">
      <c r="A23" s="2" t="s">
        <v>33</v>
      </c>
      <c r="B23" s="2" t="s">
        <v>231</v>
      </c>
      <c r="C23" s="7" t="s">
        <v>312</v>
      </c>
      <c r="D23" s="2">
        <v>3</v>
      </c>
      <c r="E23" s="2">
        <v>45000</v>
      </c>
      <c r="F23" s="2">
        <f t="shared" si="0"/>
        <v>135000</v>
      </c>
      <c r="G23" s="2" t="str">
        <f t="shared" si="1"/>
        <v>Nhỏ</v>
      </c>
      <c r="H23" s="2" t="s">
        <v>5</v>
      </c>
      <c r="I23" s="2" t="s">
        <v>11</v>
      </c>
      <c r="J23" s="4">
        <v>45221</v>
      </c>
    </row>
    <row r="24" spans="1:10" x14ac:dyDescent="0.2">
      <c r="A24" s="2" t="s">
        <v>34</v>
      </c>
      <c r="B24" s="2" t="s">
        <v>232</v>
      </c>
      <c r="C24" s="7" t="s">
        <v>311</v>
      </c>
      <c r="D24" s="2">
        <v>1</v>
      </c>
      <c r="E24" s="2">
        <v>50000</v>
      </c>
      <c r="F24" s="2">
        <f t="shared" si="0"/>
        <v>50000</v>
      </c>
      <c r="G24" s="2" t="str">
        <f t="shared" si="1"/>
        <v>Trung bình</v>
      </c>
      <c r="H24" s="2" t="s">
        <v>7</v>
      </c>
      <c r="I24" s="2" t="s">
        <v>6</v>
      </c>
      <c r="J24" s="4">
        <v>45222</v>
      </c>
    </row>
    <row r="25" spans="1:10" x14ac:dyDescent="0.2">
      <c r="A25" s="2" t="s">
        <v>35</v>
      </c>
      <c r="B25" s="2" t="s">
        <v>233</v>
      </c>
      <c r="C25" s="7" t="s">
        <v>310</v>
      </c>
      <c r="D25" s="2">
        <v>2</v>
      </c>
      <c r="E25" s="2">
        <v>45000</v>
      </c>
      <c r="F25" s="2">
        <f t="shared" si="0"/>
        <v>90000</v>
      </c>
      <c r="G25" s="2" t="str">
        <f t="shared" si="1"/>
        <v>Nhỏ</v>
      </c>
      <c r="H25" s="2" t="s">
        <v>9</v>
      </c>
      <c r="I25" s="2" t="s">
        <v>8</v>
      </c>
      <c r="J25" s="4">
        <v>45223</v>
      </c>
    </row>
    <row r="26" spans="1:10" x14ac:dyDescent="0.2">
      <c r="A26" s="2" t="s">
        <v>36</v>
      </c>
      <c r="B26" s="2" t="s">
        <v>234</v>
      </c>
      <c r="C26" s="7" t="s">
        <v>312</v>
      </c>
      <c r="D26" s="2">
        <v>2</v>
      </c>
      <c r="E26" s="2">
        <v>30000</v>
      </c>
      <c r="F26" s="2">
        <f t="shared" si="0"/>
        <v>60000</v>
      </c>
      <c r="G26" s="2" t="str">
        <f t="shared" si="1"/>
        <v>Nhỏ</v>
      </c>
      <c r="H26" s="2" t="s">
        <v>5</v>
      </c>
      <c r="I26" s="2" t="s">
        <v>10</v>
      </c>
      <c r="J26" s="4">
        <v>45224</v>
      </c>
    </row>
    <row r="27" spans="1:10" x14ac:dyDescent="0.2">
      <c r="A27" s="2" t="s">
        <v>37</v>
      </c>
      <c r="B27" s="2" t="s">
        <v>235</v>
      </c>
      <c r="C27" s="7" t="s">
        <v>313</v>
      </c>
      <c r="D27" s="2">
        <v>3</v>
      </c>
      <c r="E27" s="2">
        <v>35000</v>
      </c>
      <c r="F27" s="2">
        <f t="shared" si="0"/>
        <v>105000</v>
      </c>
      <c r="G27" s="2" t="str">
        <f t="shared" si="1"/>
        <v>Nhỏ</v>
      </c>
      <c r="H27" s="2" t="s">
        <v>7</v>
      </c>
      <c r="I27" s="2" t="s">
        <v>11</v>
      </c>
      <c r="J27" s="4">
        <v>45225</v>
      </c>
    </row>
    <row r="28" spans="1:10" x14ac:dyDescent="0.2">
      <c r="A28" s="2" t="s">
        <v>38</v>
      </c>
      <c r="B28" s="2" t="s">
        <v>214</v>
      </c>
      <c r="C28" s="7" t="s">
        <v>310</v>
      </c>
      <c r="D28" s="2">
        <v>1</v>
      </c>
      <c r="E28" s="2">
        <v>35000</v>
      </c>
      <c r="F28" s="2">
        <f t="shared" si="0"/>
        <v>35000</v>
      </c>
      <c r="G28" s="2" t="str">
        <f t="shared" si="1"/>
        <v>Nhỏ</v>
      </c>
      <c r="H28" s="2" t="s">
        <v>9</v>
      </c>
      <c r="I28" s="2" t="s">
        <v>6</v>
      </c>
      <c r="J28" s="4">
        <v>45226</v>
      </c>
    </row>
    <row r="29" spans="1:10" x14ac:dyDescent="0.2">
      <c r="A29" s="2" t="s">
        <v>39</v>
      </c>
      <c r="B29" s="2" t="s">
        <v>227</v>
      </c>
      <c r="C29" s="7" t="s">
        <v>312</v>
      </c>
      <c r="D29" s="2">
        <v>4</v>
      </c>
      <c r="E29" s="2">
        <v>40000</v>
      </c>
      <c r="F29" s="2">
        <f t="shared" si="0"/>
        <v>160000</v>
      </c>
      <c r="G29" s="2" t="str">
        <f t="shared" si="1"/>
        <v>Nhỏ</v>
      </c>
      <c r="H29" s="2" t="s">
        <v>5</v>
      </c>
      <c r="I29" s="2" t="s">
        <v>8</v>
      </c>
      <c r="J29" s="4">
        <v>45227</v>
      </c>
    </row>
    <row r="30" spans="1:10" x14ac:dyDescent="0.2">
      <c r="A30" s="2" t="s">
        <v>40</v>
      </c>
      <c r="B30" s="2" t="s">
        <v>215</v>
      </c>
      <c r="C30" s="7" t="s">
        <v>311</v>
      </c>
      <c r="D30" s="2">
        <v>2</v>
      </c>
      <c r="E30" s="2">
        <v>55000</v>
      </c>
      <c r="F30" s="2">
        <f t="shared" si="0"/>
        <v>110000</v>
      </c>
      <c r="G30" s="2" t="str">
        <f t="shared" si="1"/>
        <v>Trung bình</v>
      </c>
      <c r="H30" s="2" t="s">
        <v>7</v>
      </c>
      <c r="I30" s="2" t="s">
        <v>10</v>
      </c>
      <c r="J30" s="4">
        <v>45228</v>
      </c>
    </row>
    <row r="31" spans="1:10" x14ac:dyDescent="0.2">
      <c r="A31" s="2" t="s">
        <v>41</v>
      </c>
      <c r="B31" s="2" t="s">
        <v>216</v>
      </c>
      <c r="C31" s="7" t="s">
        <v>310</v>
      </c>
      <c r="D31" s="2">
        <v>1</v>
      </c>
      <c r="E31" s="2">
        <v>25000</v>
      </c>
      <c r="F31" s="2">
        <f t="shared" si="0"/>
        <v>25000</v>
      </c>
      <c r="G31" s="2" t="str">
        <f t="shared" si="1"/>
        <v>Nhỏ</v>
      </c>
      <c r="H31" s="2" t="s">
        <v>9</v>
      </c>
      <c r="I31" s="2" t="s">
        <v>11</v>
      </c>
      <c r="J31" s="4">
        <v>45229</v>
      </c>
    </row>
    <row r="32" spans="1:10" x14ac:dyDescent="0.2">
      <c r="A32" s="2" t="s">
        <v>42</v>
      </c>
      <c r="B32" s="2" t="s">
        <v>217</v>
      </c>
      <c r="C32" s="7" t="s">
        <v>312</v>
      </c>
      <c r="D32" s="2">
        <v>5</v>
      </c>
      <c r="E32" s="2">
        <v>45000</v>
      </c>
      <c r="F32" s="2">
        <f t="shared" si="0"/>
        <v>225000</v>
      </c>
      <c r="G32" s="2" t="str">
        <f t="shared" si="1"/>
        <v>Nhỏ</v>
      </c>
      <c r="H32" s="2" t="s">
        <v>5</v>
      </c>
      <c r="I32" s="2" t="s">
        <v>6</v>
      </c>
      <c r="J32" s="4">
        <v>45230</v>
      </c>
    </row>
    <row r="33" spans="1:10" x14ac:dyDescent="0.2">
      <c r="A33" s="2" t="s">
        <v>43</v>
      </c>
      <c r="B33" s="2" t="s">
        <v>218</v>
      </c>
      <c r="C33" s="7" t="s">
        <v>313</v>
      </c>
      <c r="D33" s="2">
        <v>2</v>
      </c>
      <c r="E33" s="2">
        <v>30000</v>
      </c>
      <c r="F33" s="2">
        <f t="shared" si="0"/>
        <v>60000</v>
      </c>
      <c r="G33" s="2" t="str">
        <f t="shared" si="1"/>
        <v>Nhỏ</v>
      </c>
      <c r="H33" s="2" t="s">
        <v>7</v>
      </c>
      <c r="I33" s="2" t="s">
        <v>8</v>
      </c>
      <c r="J33" s="4">
        <v>45231</v>
      </c>
    </row>
    <row r="34" spans="1:10" x14ac:dyDescent="0.2">
      <c r="A34" s="2" t="s">
        <v>44</v>
      </c>
      <c r="B34" s="2" t="s">
        <v>219</v>
      </c>
      <c r="C34" s="7" t="s">
        <v>313</v>
      </c>
      <c r="D34" s="2">
        <v>1</v>
      </c>
      <c r="E34" s="2">
        <v>40000</v>
      </c>
      <c r="F34" s="2">
        <f t="shared" ref="F34:F65" si="2">(D34)*(E34)</f>
        <v>40000</v>
      </c>
      <c r="G34" s="2" t="str">
        <f t="shared" ref="G34:G65" si="3">IF(E34&gt;=100000,"Lớn",IF(E34&gt;=50000,"Trung bình","Nhỏ"))</f>
        <v>Nhỏ</v>
      </c>
      <c r="H34" s="2" t="s">
        <v>9</v>
      </c>
      <c r="I34" s="2" t="s">
        <v>10</v>
      </c>
      <c r="J34" s="4">
        <v>44968</v>
      </c>
    </row>
    <row r="35" spans="1:10" x14ac:dyDescent="0.2">
      <c r="A35" s="2" t="s">
        <v>45</v>
      </c>
      <c r="B35" s="2" t="s">
        <v>220</v>
      </c>
      <c r="C35" s="7" t="s">
        <v>310</v>
      </c>
      <c r="D35" s="2">
        <v>3</v>
      </c>
      <c r="E35" s="2">
        <v>29000</v>
      </c>
      <c r="F35" s="2">
        <f t="shared" si="2"/>
        <v>87000</v>
      </c>
      <c r="G35" s="2" t="str">
        <f t="shared" si="3"/>
        <v>Nhỏ</v>
      </c>
      <c r="H35" s="2" t="s">
        <v>5</v>
      </c>
      <c r="I35" s="2" t="s">
        <v>11</v>
      </c>
      <c r="J35" s="4">
        <v>44996</v>
      </c>
    </row>
    <row r="36" spans="1:10" x14ac:dyDescent="0.2">
      <c r="A36" s="2" t="s">
        <v>46</v>
      </c>
      <c r="B36" s="2" t="s">
        <v>221</v>
      </c>
      <c r="C36" s="7" t="s">
        <v>312</v>
      </c>
      <c r="D36" s="2">
        <v>2</v>
      </c>
      <c r="E36" s="2">
        <v>42000</v>
      </c>
      <c r="F36" s="2">
        <f t="shared" si="2"/>
        <v>84000</v>
      </c>
      <c r="G36" s="2" t="str">
        <f t="shared" si="3"/>
        <v>Nhỏ</v>
      </c>
      <c r="H36" s="2" t="s">
        <v>7</v>
      </c>
      <c r="I36" s="2" t="s">
        <v>6</v>
      </c>
      <c r="J36" s="4">
        <v>45234</v>
      </c>
    </row>
    <row r="37" spans="1:10" x14ac:dyDescent="0.2">
      <c r="A37" s="2" t="s">
        <v>47</v>
      </c>
      <c r="B37" s="2" t="s">
        <v>222</v>
      </c>
      <c r="C37" s="7" t="s">
        <v>311</v>
      </c>
      <c r="D37" s="2">
        <v>1</v>
      </c>
      <c r="E37" s="2">
        <v>50000</v>
      </c>
      <c r="F37" s="2">
        <f t="shared" si="2"/>
        <v>50000</v>
      </c>
      <c r="G37" s="2" t="str">
        <f t="shared" si="3"/>
        <v>Trung bình</v>
      </c>
      <c r="H37" s="2" t="s">
        <v>9</v>
      </c>
      <c r="I37" s="2" t="s">
        <v>8</v>
      </c>
      <c r="J37" s="4">
        <v>45057</v>
      </c>
    </row>
    <row r="38" spans="1:10" x14ac:dyDescent="0.2">
      <c r="A38" s="2" t="s">
        <v>48</v>
      </c>
      <c r="B38" s="2" t="s">
        <v>223</v>
      </c>
      <c r="C38" s="7" t="s">
        <v>310</v>
      </c>
      <c r="D38" s="2">
        <v>4</v>
      </c>
      <c r="E38" s="2">
        <v>45000</v>
      </c>
      <c r="F38" s="2">
        <f t="shared" si="2"/>
        <v>180000</v>
      </c>
      <c r="G38" s="2" t="str">
        <f t="shared" si="3"/>
        <v>Nhỏ</v>
      </c>
      <c r="H38" s="2" t="s">
        <v>5</v>
      </c>
      <c r="I38" s="2" t="s">
        <v>10</v>
      </c>
      <c r="J38" s="4">
        <v>45088</v>
      </c>
    </row>
    <row r="39" spans="1:10" x14ac:dyDescent="0.2">
      <c r="A39" s="2" t="s">
        <v>49</v>
      </c>
      <c r="B39" s="2" t="s">
        <v>224</v>
      </c>
      <c r="C39" s="7" t="s">
        <v>310</v>
      </c>
      <c r="D39" s="2">
        <v>2</v>
      </c>
      <c r="E39" s="2">
        <v>48000</v>
      </c>
      <c r="F39" s="2">
        <f t="shared" si="2"/>
        <v>96000</v>
      </c>
      <c r="G39" s="2" t="str">
        <f t="shared" si="3"/>
        <v>Nhỏ</v>
      </c>
      <c r="H39" s="2" t="s">
        <v>7</v>
      </c>
      <c r="I39" s="2" t="s">
        <v>11</v>
      </c>
      <c r="J39" s="4">
        <v>45237</v>
      </c>
    </row>
    <row r="40" spans="1:10" x14ac:dyDescent="0.2">
      <c r="A40" s="2" t="s">
        <v>50</v>
      </c>
      <c r="B40" s="2" t="s">
        <v>225</v>
      </c>
      <c r="C40" s="7" t="s">
        <v>312</v>
      </c>
      <c r="D40" s="2">
        <v>1</v>
      </c>
      <c r="E40" s="2">
        <v>35000</v>
      </c>
      <c r="F40" s="2">
        <f t="shared" si="2"/>
        <v>35000</v>
      </c>
      <c r="G40" s="2" t="str">
        <f t="shared" si="3"/>
        <v>Nhỏ</v>
      </c>
      <c r="H40" s="2" t="s">
        <v>9</v>
      </c>
      <c r="I40" s="2" t="s">
        <v>6</v>
      </c>
      <c r="J40" s="4">
        <v>45149</v>
      </c>
    </row>
    <row r="41" spans="1:10" x14ac:dyDescent="0.2">
      <c r="A41" s="2" t="s">
        <v>51</v>
      </c>
      <c r="B41" s="2" t="s">
        <v>226</v>
      </c>
      <c r="C41" s="7" t="s">
        <v>313</v>
      </c>
      <c r="D41" s="2">
        <v>2</v>
      </c>
      <c r="E41" s="2">
        <v>38000</v>
      </c>
      <c r="F41" s="2">
        <f t="shared" si="2"/>
        <v>76000</v>
      </c>
      <c r="G41" s="2" t="str">
        <f t="shared" si="3"/>
        <v>Nhỏ</v>
      </c>
      <c r="H41" s="2" t="s">
        <v>5</v>
      </c>
      <c r="I41" s="2" t="s">
        <v>8</v>
      </c>
      <c r="J41" s="4">
        <v>45180</v>
      </c>
    </row>
    <row r="42" spans="1:10" x14ac:dyDescent="0.2">
      <c r="A42" s="2" t="s">
        <v>52</v>
      </c>
      <c r="B42" s="2" t="s">
        <v>214</v>
      </c>
      <c r="C42" s="7" t="s">
        <v>310</v>
      </c>
      <c r="D42" s="2">
        <v>3</v>
      </c>
      <c r="E42" s="2">
        <v>35000</v>
      </c>
      <c r="F42" s="2">
        <f t="shared" si="2"/>
        <v>105000</v>
      </c>
      <c r="G42" s="2" t="str">
        <f t="shared" si="3"/>
        <v>Nhỏ</v>
      </c>
      <c r="H42" s="2" t="s">
        <v>7</v>
      </c>
      <c r="I42" s="2" t="s">
        <v>10</v>
      </c>
      <c r="J42" s="4">
        <v>45240</v>
      </c>
    </row>
    <row r="43" spans="1:10" x14ac:dyDescent="0.2">
      <c r="A43" s="2" t="s">
        <v>53</v>
      </c>
      <c r="B43" s="2" t="s">
        <v>227</v>
      </c>
      <c r="C43" s="7" t="s">
        <v>312</v>
      </c>
      <c r="D43" s="2">
        <v>2</v>
      </c>
      <c r="E43" s="2">
        <v>40000</v>
      </c>
      <c r="F43" s="2">
        <f t="shared" si="2"/>
        <v>80000</v>
      </c>
      <c r="G43" s="2" t="str">
        <f t="shared" si="3"/>
        <v>Nhỏ</v>
      </c>
      <c r="H43" s="2" t="s">
        <v>9</v>
      </c>
      <c r="I43" s="2" t="s">
        <v>11</v>
      </c>
      <c r="J43" s="4">
        <v>45241</v>
      </c>
    </row>
    <row r="44" spans="1:10" x14ac:dyDescent="0.2">
      <c r="A44" s="2" t="s">
        <v>54</v>
      </c>
      <c r="B44" s="2" t="s">
        <v>228</v>
      </c>
      <c r="C44" s="2" t="s">
        <v>311</v>
      </c>
      <c r="D44" s="2">
        <v>1</v>
      </c>
      <c r="E44" s="2">
        <v>55000</v>
      </c>
      <c r="F44" s="2">
        <f t="shared" si="2"/>
        <v>55000</v>
      </c>
      <c r="G44" s="2" t="str">
        <f t="shared" si="3"/>
        <v>Trung bình</v>
      </c>
      <c r="H44" s="2" t="s">
        <v>5</v>
      </c>
      <c r="I44" s="2" t="s">
        <v>6</v>
      </c>
      <c r="J44" s="4">
        <v>45271</v>
      </c>
    </row>
    <row r="45" spans="1:10" x14ac:dyDescent="0.2">
      <c r="A45" s="2" t="s">
        <v>55</v>
      </c>
      <c r="B45" s="2" t="s">
        <v>220</v>
      </c>
      <c r="C45" s="2" t="s">
        <v>310</v>
      </c>
      <c r="D45" s="2">
        <v>5</v>
      </c>
      <c r="E45" s="2">
        <v>29000</v>
      </c>
      <c r="F45" s="2">
        <f t="shared" si="2"/>
        <v>145000</v>
      </c>
      <c r="G45" s="2" t="str">
        <f t="shared" si="3"/>
        <v>Nhỏ</v>
      </c>
      <c r="H45" s="2" t="s">
        <v>7</v>
      </c>
      <c r="I45" s="2" t="s">
        <v>8</v>
      </c>
      <c r="J45" s="4">
        <v>45243</v>
      </c>
    </row>
    <row r="46" spans="1:10" x14ac:dyDescent="0.2">
      <c r="A46" s="2" t="s">
        <v>56</v>
      </c>
      <c r="B46" s="2" t="s">
        <v>231</v>
      </c>
      <c r="C46" s="2" t="s">
        <v>312</v>
      </c>
      <c r="D46" s="2">
        <v>1</v>
      </c>
      <c r="E46" s="2">
        <v>45000</v>
      </c>
      <c r="F46" s="2">
        <f t="shared" si="2"/>
        <v>45000</v>
      </c>
      <c r="G46" s="2" t="str">
        <f t="shared" si="3"/>
        <v>Nhỏ</v>
      </c>
      <c r="H46" s="2" t="s">
        <v>9</v>
      </c>
      <c r="I46" s="2" t="s">
        <v>10</v>
      </c>
      <c r="J46" s="4">
        <v>45244</v>
      </c>
    </row>
    <row r="47" spans="1:10" x14ac:dyDescent="0.2">
      <c r="A47" s="2" t="s">
        <v>57</v>
      </c>
      <c r="B47" s="2" t="s">
        <v>232</v>
      </c>
      <c r="C47" s="2" t="s">
        <v>311</v>
      </c>
      <c r="D47" s="2">
        <v>2</v>
      </c>
      <c r="E47" s="2">
        <v>50000</v>
      </c>
      <c r="F47" s="2">
        <f t="shared" si="2"/>
        <v>100000</v>
      </c>
      <c r="G47" s="2" t="str">
        <f t="shared" si="3"/>
        <v>Trung bình</v>
      </c>
      <c r="H47" s="2" t="s">
        <v>5</v>
      </c>
      <c r="I47" s="2" t="s">
        <v>11</v>
      </c>
      <c r="J47" s="4">
        <v>45245</v>
      </c>
    </row>
    <row r="48" spans="1:10" x14ac:dyDescent="0.2">
      <c r="A48" s="2" t="s">
        <v>58</v>
      </c>
      <c r="B48" s="2" t="s">
        <v>233</v>
      </c>
      <c r="C48" s="2" t="s">
        <v>310</v>
      </c>
      <c r="D48" s="2">
        <v>3</v>
      </c>
      <c r="E48" s="2">
        <v>45000</v>
      </c>
      <c r="F48" s="2">
        <f t="shared" si="2"/>
        <v>135000</v>
      </c>
      <c r="G48" s="2" t="str">
        <f t="shared" si="3"/>
        <v>Nhỏ</v>
      </c>
      <c r="H48" s="2" t="s">
        <v>7</v>
      </c>
      <c r="I48" s="2" t="s">
        <v>6</v>
      </c>
      <c r="J48" s="4">
        <v>45246</v>
      </c>
    </row>
    <row r="49" spans="1:10" x14ac:dyDescent="0.2">
      <c r="A49" s="2" t="s">
        <v>59</v>
      </c>
      <c r="B49" s="2" t="s">
        <v>234</v>
      </c>
      <c r="C49" s="2" t="s">
        <v>312</v>
      </c>
      <c r="D49" s="2">
        <v>4</v>
      </c>
      <c r="E49" s="2">
        <v>30000</v>
      </c>
      <c r="F49" s="2">
        <f t="shared" si="2"/>
        <v>120000</v>
      </c>
      <c r="G49" s="2" t="str">
        <f t="shared" si="3"/>
        <v>Nhỏ</v>
      </c>
      <c r="H49" s="2" t="s">
        <v>9</v>
      </c>
      <c r="I49" s="2" t="s">
        <v>8</v>
      </c>
      <c r="J49" s="4">
        <v>45247</v>
      </c>
    </row>
    <row r="50" spans="1:10" x14ac:dyDescent="0.2">
      <c r="A50" s="2" t="s">
        <v>60</v>
      </c>
      <c r="B50" s="2" t="s">
        <v>235</v>
      </c>
      <c r="C50" s="2" t="s">
        <v>313</v>
      </c>
      <c r="D50" s="2">
        <v>1</v>
      </c>
      <c r="E50" s="2">
        <v>35000</v>
      </c>
      <c r="F50" s="2">
        <f t="shared" si="2"/>
        <v>35000</v>
      </c>
      <c r="G50" s="2" t="str">
        <f t="shared" si="3"/>
        <v>Nhỏ</v>
      </c>
      <c r="H50" s="2" t="s">
        <v>5</v>
      </c>
      <c r="I50" s="2" t="s">
        <v>10</v>
      </c>
      <c r="J50" s="4">
        <v>45248</v>
      </c>
    </row>
    <row r="51" spans="1:10" x14ac:dyDescent="0.2">
      <c r="A51" s="2" t="s">
        <v>61</v>
      </c>
      <c r="B51" s="2" t="s">
        <v>223</v>
      </c>
      <c r="C51" s="2" t="s">
        <v>310</v>
      </c>
      <c r="D51" s="2">
        <v>2</v>
      </c>
      <c r="E51" s="2">
        <v>45000</v>
      </c>
      <c r="F51" s="2">
        <f t="shared" si="2"/>
        <v>90000</v>
      </c>
      <c r="G51" s="2" t="str">
        <f t="shared" si="3"/>
        <v>Nhỏ</v>
      </c>
      <c r="H51" s="2" t="s">
        <v>7</v>
      </c>
      <c r="I51" s="2" t="s">
        <v>11</v>
      </c>
      <c r="J51" s="4">
        <v>45249</v>
      </c>
    </row>
    <row r="52" spans="1:10" x14ac:dyDescent="0.2">
      <c r="A52" s="2" t="s">
        <v>62</v>
      </c>
      <c r="B52" s="2" t="s">
        <v>236</v>
      </c>
      <c r="C52" s="2" t="s">
        <v>310</v>
      </c>
      <c r="D52" s="2">
        <v>1</v>
      </c>
      <c r="E52" s="2">
        <v>30000</v>
      </c>
      <c r="F52" s="2">
        <f t="shared" si="2"/>
        <v>30000</v>
      </c>
      <c r="G52" s="2" t="str">
        <f t="shared" si="3"/>
        <v>Nhỏ</v>
      </c>
      <c r="H52" s="2" t="s">
        <v>9</v>
      </c>
      <c r="I52" s="2" t="s">
        <v>6</v>
      </c>
      <c r="J52" s="4">
        <v>45250</v>
      </c>
    </row>
    <row r="53" spans="1:10" x14ac:dyDescent="0.2">
      <c r="A53" s="2" t="s">
        <v>63</v>
      </c>
      <c r="B53" s="2" t="s">
        <v>237</v>
      </c>
      <c r="C53" s="2" t="s">
        <v>312</v>
      </c>
      <c r="D53" s="2">
        <v>2</v>
      </c>
      <c r="E53" s="2">
        <v>45000</v>
      </c>
      <c r="F53" s="2">
        <f t="shared" si="2"/>
        <v>90000</v>
      </c>
      <c r="G53" s="2" t="str">
        <f t="shared" si="3"/>
        <v>Nhỏ</v>
      </c>
      <c r="H53" s="2" t="s">
        <v>5</v>
      </c>
      <c r="I53" s="2" t="s">
        <v>8</v>
      </c>
      <c r="J53" s="4">
        <v>45251</v>
      </c>
    </row>
    <row r="54" spans="1:10" x14ac:dyDescent="0.2">
      <c r="A54" s="2" t="s">
        <v>64</v>
      </c>
      <c r="B54" s="2" t="s">
        <v>238</v>
      </c>
      <c r="C54" s="2" t="s">
        <v>311</v>
      </c>
      <c r="D54" s="2">
        <v>1</v>
      </c>
      <c r="E54" s="2">
        <v>50000</v>
      </c>
      <c r="F54" s="2">
        <f t="shared" si="2"/>
        <v>50000</v>
      </c>
      <c r="G54" s="2" t="str">
        <f t="shared" si="3"/>
        <v>Trung bình</v>
      </c>
      <c r="H54" s="2" t="s">
        <v>7</v>
      </c>
      <c r="I54" s="2" t="s">
        <v>10</v>
      </c>
      <c r="J54" s="4">
        <v>45252</v>
      </c>
    </row>
    <row r="55" spans="1:10" x14ac:dyDescent="0.2">
      <c r="A55" s="2" t="s">
        <v>65</v>
      </c>
      <c r="B55" s="2" t="s">
        <v>239</v>
      </c>
      <c r="C55" s="2" t="s">
        <v>310</v>
      </c>
      <c r="D55" s="2">
        <v>3</v>
      </c>
      <c r="E55" s="2">
        <v>32000</v>
      </c>
      <c r="F55" s="2">
        <f t="shared" si="2"/>
        <v>96000</v>
      </c>
      <c r="G55" s="2" t="str">
        <f t="shared" si="3"/>
        <v>Nhỏ</v>
      </c>
      <c r="H55" s="2" t="s">
        <v>9</v>
      </c>
      <c r="I55" s="2" t="s">
        <v>11</v>
      </c>
      <c r="J55" s="4">
        <v>45253</v>
      </c>
    </row>
    <row r="56" spans="1:10" x14ac:dyDescent="0.2">
      <c r="A56" s="2" t="s">
        <v>66</v>
      </c>
      <c r="B56" s="2" t="s">
        <v>240</v>
      </c>
      <c r="C56" s="2" t="s">
        <v>313</v>
      </c>
      <c r="D56" s="2">
        <v>2</v>
      </c>
      <c r="E56" s="2">
        <v>28000</v>
      </c>
      <c r="F56" s="2">
        <f t="shared" si="2"/>
        <v>56000</v>
      </c>
      <c r="G56" s="2" t="str">
        <f t="shared" si="3"/>
        <v>Nhỏ</v>
      </c>
      <c r="H56" s="2" t="s">
        <v>5</v>
      </c>
      <c r="I56" s="2" t="s">
        <v>6</v>
      </c>
      <c r="J56" s="4">
        <v>45254</v>
      </c>
    </row>
    <row r="57" spans="1:10" x14ac:dyDescent="0.2">
      <c r="A57" s="2" t="s">
        <v>67</v>
      </c>
      <c r="B57" s="2" t="s">
        <v>241</v>
      </c>
      <c r="C57" s="2" t="s">
        <v>312</v>
      </c>
      <c r="D57" s="2">
        <v>4</v>
      </c>
      <c r="E57" s="2">
        <v>40000</v>
      </c>
      <c r="F57" s="2">
        <f t="shared" si="2"/>
        <v>160000</v>
      </c>
      <c r="G57" s="2" t="str">
        <f t="shared" si="3"/>
        <v>Nhỏ</v>
      </c>
      <c r="H57" s="2" t="s">
        <v>7</v>
      </c>
      <c r="I57" s="2" t="s">
        <v>8</v>
      </c>
      <c r="J57" s="4">
        <v>45255</v>
      </c>
    </row>
    <row r="58" spans="1:10" x14ac:dyDescent="0.2">
      <c r="A58" s="2" t="s">
        <v>68</v>
      </c>
      <c r="B58" s="2" t="s">
        <v>242</v>
      </c>
      <c r="C58" s="2" t="s">
        <v>310</v>
      </c>
      <c r="D58" s="2">
        <v>1</v>
      </c>
      <c r="E58" s="2">
        <v>45000</v>
      </c>
      <c r="F58" s="2">
        <f t="shared" si="2"/>
        <v>45000</v>
      </c>
      <c r="G58" s="2" t="str">
        <f t="shared" si="3"/>
        <v>Nhỏ</v>
      </c>
      <c r="H58" s="2" t="s">
        <v>9</v>
      </c>
      <c r="I58" s="2" t="s">
        <v>10</v>
      </c>
      <c r="J58" s="4">
        <v>45256</v>
      </c>
    </row>
    <row r="59" spans="1:10" x14ac:dyDescent="0.2">
      <c r="A59" s="2" t="s">
        <v>69</v>
      </c>
      <c r="B59" s="2" t="s">
        <v>243</v>
      </c>
      <c r="C59" s="2" t="s">
        <v>313</v>
      </c>
      <c r="D59" s="2">
        <v>5</v>
      </c>
      <c r="E59" s="2">
        <v>35000</v>
      </c>
      <c r="F59" s="2">
        <f t="shared" si="2"/>
        <v>175000</v>
      </c>
      <c r="G59" s="2" t="str">
        <f t="shared" si="3"/>
        <v>Nhỏ</v>
      </c>
      <c r="H59" s="2" t="s">
        <v>5</v>
      </c>
      <c r="I59" s="2" t="s">
        <v>11</v>
      </c>
      <c r="J59" s="4">
        <v>45257</v>
      </c>
    </row>
    <row r="60" spans="1:10" x14ac:dyDescent="0.2">
      <c r="A60" s="2" t="s">
        <v>70</v>
      </c>
      <c r="B60" s="2" t="s">
        <v>244</v>
      </c>
      <c r="C60" s="2" t="s">
        <v>311</v>
      </c>
      <c r="D60" s="2">
        <v>2</v>
      </c>
      <c r="E60" s="2">
        <v>48000</v>
      </c>
      <c r="F60" s="2">
        <f t="shared" si="2"/>
        <v>96000</v>
      </c>
      <c r="G60" s="2" t="str">
        <f t="shared" si="3"/>
        <v>Nhỏ</v>
      </c>
      <c r="H60" s="2" t="s">
        <v>7</v>
      </c>
      <c r="I60" s="2" t="s">
        <v>6</v>
      </c>
      <c r="J60" s="4">
        <v>45258</v>
      </c>
    </row>
    <row r="61" spans="1:10" x14ac:dyDescent="0.2">
      <c r="A61" s="2" t="s">
        <v>71</v>
      </c>
      <c r="B61" s="2" t="s">
        <v>245</v>
      </c>
      <c r="C61" s="2" t="s">
        <v>312</v>
      </c>
      <c r="D61" s="2">
        <v>1</v>
      </c>
      <c r="E61" s="2">
        <v>25000</v>
      </c>
      <c r="F61" s="2">
        <f t="shared" si="2"/>
        <v>25000</v>
      </c>
      <c r="G61" s="2" t="str">
        <f t="shared" si="3"/>
        <v>Nhỏ</v>
      </c>
      <c r="H61" s="2" t="s">
        <v>9</v>
      </c>
      <c r="I61" s="2" t="s">
        <v>8</v>
      </c>
      <c r="J61" s="4">
        <v>45259</v>
      </c>
    </row>
    <row r="62" spans="1:10" x14ac:dyDescent="0.2">
      <c r="A62" s="2" t="s">
        <v>72</v>
      </c>
      <c r="B62" s="2" t="s">
        <v>246</v>
      </c>
      <c r="C62" s="2" t="s">
        <v>310</v>
      </c>
      <c r="D62" s="2">
        <v>2</v>
      </c>
      <c r="E62" s="2">
        <v>35000</v>
      </c>
      <c r="F62" s="2">
        <f t="shared" si="2"/>
        <v>70000</v>
      </c>
      <c r="G62" s="2" t="str">
        <f t="shared" si="3"/>
        <v>Nhỏ</v>
      </c>
      <c r="H62" s="2" t="s">
        <v>5</v>
      </c>
      <c r="I62" s="2" t="s">
        <v>10</v>
      </c>
      <c r="J62" s="4">
        <v>45260</v>
      </c>
    </row>
    <row r="63" spans="1:10" x14ac:dyDescent="0.2">
      <c r="A63" s="2" t="s">
        <v>73</v>
      </c>
      <c r="B63" s="2" t="s">
        <v>247</v>
      </c>
      <c r="C63" s="2" t="s">
        <v>312</v>
      </c>
      <c r="D63" s="2">
        <v>3</v>
      </c>
      <c r="E63" s="2">
        <v>38000</v>
      </c>
      <c r="F63" s="2">
        <f t="shared" si="2"/>
        <v>114000</v>
      </c>
      <c r="G63" s="2" t="str">
        <f t="shared" si="3"/>
        <v>Nhỏ</v>
      </c>
      <c r="H63" s="2" t="s">
        <v>7</v>
      </c>
      <c r="I63" s="2" t="s">
        <v>11</v>
      </c>
      <c r="J63" s="4">
        <v>44938</v>
      </c>
    </row>
    <row r="64" spans="1:10" x14ac:dyDescent="0.2">
      <c r="A64" s="2" t="s">
        <v>74</v>
      </c>
      <c r="B64" s="2" t="s">
        <v>248</v>
      </c>
      <c r="C64" s="2" t="s">
        <v>313</v>
      </c>
      <c r="D64" s="2">
        <v>4</v>
      </c>
      <c r="E64" s="2">
        <v>30000</v>
      </c>
      <c r="F64" s="2">
        <f t="shared" si="2"/>
        <v>120000</v>
      </c>
      <c r="G64" s="2" t="str">
        <f t="shared" si="3"/>
        <v>Nhỏ</v>
      </c>
      <c r="H64" s="2" t="s">
        <v>9</v>
      </c>
      <c r="I64" s="2" t="s">
        <v>6</v>
      </c>
      <c r="J64" s="4">
        <v>45262</v>
      </c>
    </row>
    <row r="65" spans="1:10" x14ac:dyDescent="0.2">
      <c r="A65" s="2" t="s">
        <v>75</v>
      </c>
      <c r="B65" s="2" t="s">
        <v>249</v>
      </c>
      <c r="C65" s="2" t="s">
        <v>310</v>
      </c>
      <c r="D65" s="2">
        <v>1</v>
      </c>
      <c r="E65" s="2">
        <v>55000</v>
      </c>
      <c r="F65" s="2">
        <f t="shared" si="2"/>
        <v>55000</v>
      </c>
      <c r="G65" s="2" t="str">
        <f t="shared" si="3"/>
        <v>Trung bình</v>
      </c>
      <c r="H65" s="2" t="s">
        <v>5</v>
      </c>
      <c r="I65" s="2" t="s">
        <v>8</v>
      </c>
      <c r="J65" s="4">
        <v>44997</v>
      </c>
    </row>
    <row r="66" spans="1:10" x14ac:dyDescent="0.2">
      <c r="A66" s="2" t="s">
        <v>76</v>
      </c>
      <c r="B66" s="2" t="s">
        <v>250</v>
      </c>
      <c r="C66" s="2" t="s">
        <v>311</v>
      </c>
      <c r="D66" s="2">
        <v>1</v>
      </c>
      <c r="E66" s="2">
        <v>65000</v>
      </c>
      <c r="F66" s="2">
        <f t="shared" ref="F66:F97" si="4">(D66)*(E66)</f>
        <v>65000</v>
      </c>
      <c r="G66" s="2" t="str">
        <f t="shared" ref="G66:G97" si="5">IF(E66&gt;=100000,"Lớn",IF(E66&gt;=50000,"Trung bình","Nhỏ"))</f>
        <v>Trung bình</v>
      </c>
      <c r="H66" s="2" t="s">
        <v>7</v>
      </c>
      <c r="I66" s="2" t="s">
        <v>10</v>
      </c>
      <c r="J66" s="4">
        <v>45028</v>
      </c>
    </row>
    <row r="67" spans="1:10" x14ac:dyDescent="0.2">
      <c r="A67" s="2" t="s">
        <v>77</v>
      </c>
      <c r="B67" s="2" t="s">
        <v>251</v>
      </c>
      <c r="C67" s="2" t="s">
        <v>312</v>
      </c>
      <c r="D67" s="2">
        <v>2</v>
      </c>
      <c r="E67" s="2">
        <v>35000</v>
      </c>
      <c r="F67" s="2">
        <f t="shared" si="4"/>
        <v>70000</v>
      </c>
      <c r="G67" s="2" t="str">
        <f t="shared" si="5"/>
        <v>Nhỏ</v>
      </c>
      <c r="H67" s="2" t="s">
        <v>9</v>
      </c>
      <c r="I67" s="2" t="s">
        <v>11</v>
      </c>
      <c r="J67" s="4">
        <v>45265</v>
      </c>
    </row>
    <row r="68" spans="1:10" x14ac:dyDescent="0.2">
      <c r="A68" s="2" t="s">
        <v>78</v>
      </c>
      <c r="B68" s="2" t="s">
        <v>252</v>
      </c>
      <c r="C68" s="2" t="s">
        <v>314</v>
      </c>
      <c r="D68" s="2">
        <v>10</v>
      </c>
      <c r="E68" s="2">
        <v>10000</v>
      </c>
      <c r="F68" s="2">
        <f t="shared" si="4"/>
        <v>100000</v>
      </c>
      <c r="G68" s="2" t="str">
        <f t="shared" si="5"/>
        <v>Nhỏ</v>
      </c>
      <c r="H68" s="2" t="s">
        <v>5</v>
      </c>
      <c r="I68" s="2" t="s">
        <v>6</v>
      </c>
      <c r="J68" s="4">
        <v>45089</v>
      </c>
    </row>
    <row r="69" spans="1:10" x14ac:dyDescent="0.2">
      <c r="A69" s="2" t="s">
        <v>79</v>
      </c>
      <c r="B69" s="2" t="s">
        <v>253</v>
      </c>
      <c r="C69" s="2" t="s">
        <v>310</v>
      </c>
      <c r="D69" s="2">
        <v>2</v>
      </c>
      <c r="E69" s="2">
        <v>40000</v>
      </c>
      <c r="F69" s="2">
        <f t="shared" si="4"/>
        <v>80000</v>
      </c>
      <c r="G69" s="2" t="str">
        <f t="shared" si="5"/>
        <v>Nhỏ</v>
      </c>
      <c r="H69" s="2" t="s">
        <v>7</v>
      </c>
      <c r="I69" s="2" t="s">
        <v>8</v>
      </c>
      <c r="J69" s="4">
        <v>45119</v>
      </c>
    </row>
    <row r="70" spans="1:10" x14ac:dyDescent="0.2">
      <c r="A70" s="2" t="s">
        <v>80</v>
      </c>
      <c r="B70" s="2" t="s">
        <v>254</v>
      </c>
      <c r="C70" s="2" t="s">
        <v>313</v>
      </c>
      <c r="D70" s="2">
        <v>1</v>
      </c>
      <c r="E70" s="2">
        <v>55000</v>
      </c>
      <c r="F70" s="2">
        <f t="shared" si="4"/>
        <v>55000</v>
      </c>
      <c r="G70" s="2" t="str">
        <f t="shared" si="5"/>
        <v>Trung bình</v>
      </c>
      <c r="H70" s="2" t="s">
        <v>9</v>
      </c>
      <c r="I70" s="2" t="s">
        <v>10</v>
      </c>
      <c r="J70" s="4">
        <v>45268</v>
      </c>
    </row>
    <row r="71" spans="1:10" x14ac:dyDescent="0.2">
      <c r="A71" s="2" t="s">
        <v>81</v>
      </c>
      <c r="B71" s="2" t="s">
        <v>255</v>
      </c>
      <c r="C71" s="2" t="s">
        <v>312</v>
      </c>
      <c r="D71" s="2">
        <v>5</v>
      </c>
      <c r="E71" s="2">
        <v>20000</v>
      </c>
      <c r="F71" s="2">
        <f t="shared" si="4"/>
        <v>100000</v>
      </c>
      <c r="G71" s="2" t="str">
        <f t="shared" si="5"/>
        <v>Nhỏ</v>
      </c>
      <c r="H71" s="2" t="s">
        <v>5</v>
      </c>
      <c r="I71" s="2" t="s">
        <v>11</v>
      </c>
      <c r="J71" s="4">
        <v>45181</v>
      </c>
    </row>
    <row r="72" spans="1:10" x14ac:dyDescent="0.2">
      <c r="A72" s="2" t="s">
        <v>82</v>
      </c>
      <c r="B72" s="2" t="s">
        <v>256</v>
      </c>
      <c r="C72" s="2" t="s">
        <v>311</v>
      </c>
      <c r="D72" s="2">
        <v>1</v>
      </c>
      <c r="E72" s="2">
        <v>60000</v>
      </c>
      <c r="F72" s="2">
        <f t="shared" si="4"/>
        <v>60000</v>
      </c>
      <c r="G72" s="2" t="str">
        <f t="shared" si="5"/>
        <v>Trung bình</v>
      </c>
      <c r="H72" s="2" t="s">
        <v>7</v>
      </c>
      <c r="I72" s="2" t="s">
        <v>6</v>
      </c>
      <c r="J72" s="4">
        <v>45211</v>
      </c>
    </row>
    <row r="73" spans="1:10" x14ac:dyDescent="0.2">
      <c r="A73" s="2" t="s">
        <v>83</v>
      </c>
      <c r="B73" s="2" t="s">
        <v>257</v>
      </c>
      <c r="C73" s="2" t="s">
        <v>310</v>
      </c>
      <c r="D73" s="2">
        <v>2</v>
      </c>
      <c r="E73" s="2">
        <v>50000</v>
      </c>
      <c r="F73" s="2">
        <f t="shared" si="4"/>
        <v>100000</v>
      </c>
      <c r="G73" s="2" t="str">
        <f t="shared" si="5"/>
        <v>Trung bình</v>
      </c>
      <c r="H73" s="2" t="s">
        <v>9</v>
      </c>
      <c r="I73" s="2" t="s">
        <v>8</v>
      </c>
      <c r="J73" s="4">
        <v>45271</v>
      </c>
    </row>
    <row r="74" spans="1:10" x14ac:dyDescent="0.2">
      <c r="A74" s="2" t="s">
        <v>84</v>
      </c>
      <c r="B74" s="2" t="s">
        <v>258</v>
      </c>
      <c r="C74" s="2" t="s">
        <v>312</v>
      </c>
      <c r="D74" s="2">
        <v>3</v>
      </c>
      <c r="E74" s="2">
        <v>42000</v>
      </c>
      <c r="F74" s="2">
        <f t="shared" si="4"/>
        <v>126000</v>
      </c>
      <c r="G74" s="2" t="str">
        <f t="shared" si="5"/>
        <v>Nhỏ</v>
      </c>
      <c r="H74" s="2" t="s">
        <v>5</v>
      </c>
      <c r="I74" s="2" t="s">
        <v>10</v>
      </c>
      <c r="J74" s="4">
        <v>45272</v>
      </c>
    </row>
    <row r="75" spans="1:10" x14ac:dyDescent="0.2">
      <c r="A75" s="2" t="s">
        <v>85</v>
      </c>
      <c r="B75" s="2" t="s">
        <v>259</v>
      </c>
      <c r="C75" s="2" t="s">
        <v>313</v>
      </c>
      <c r="D75" s="2">
        <v>2</v>
      </c>
      <c r="E75" s="2">
        <v>50000</v>
      </c>
      <c r="F75" s="2">
        <f t="shared" si="4"/>
        <v>100000</v>
      </c>
      <c r="G75" s="2" t="str">
        <f t="shared" si="5"/>
        <v>Trung bình</v>
      </c>
      <c r="H75" s="2" t="s">
        <v>7</v>
      </c>
      <c r="I75" s="2" t="s">
        <v>11</v>
      </c>
      <c r="J75" s="4">
        <v>45273</v>
      </c>
    </row>
    <row r="76" spans="1:10" x14ac:dyDescent="0.2">
      <c r="A76" s="2" t="s">
        <v>86</v>
      </c>
      <c r="B76" s="2" t="s">
        <v>260</v>
      </c>
      <c r="C76" s="7" t="s">
        <v>310</v>
      </c>
      <c r="D76" s="2">
        <v>4</v>
      </c>
      <c r="E76" s="2">
        <v>29000</v>
      </c>
      <c r="F76" s="2">
        <f t="shared" si="4"/>
        <v>116000</v>
      </c>
      <c r="G76" s="2" t="str">
        <f t="shared" si="5"/>
        <v>Nhỏ</v>
      </c>
      <c r="H76" s="2" t="s">
        <v>9</v>
      </c>
      <c r="I76" s="2" t="s">
        <v>6</v>
      </c>
      <c r="J76" s="4">
        <v>45274</v>
      </c>
    </row>
    <row r="77" spans="1:10" x14ac:dyDescent="0.2">
      <c r="A77" s="2" t="s">
        <v>87</v>
      </c>
      <c r="B77" s="2" t="s">
        <v>261</v>
      </c>
      <c r="C77" s="7" t="s">
        <v>312</v>
      </c>
      <c r="D77" s="2">
        <v>2</v>
      </c>
      <c r="E77" s="2">
        <v>45000</v>
      </c>
      <c r="F77" s="2">
        <f t="shared" si="4"/>
        <v>90000</v>
      </c>
      <c r="G77" s="2" t="str">
        <f t="shared" si="5"/>
        <v>Nhỏ</v>
      </c>
      <c r="H77" s="2" t="s">
        <v>5</v>
      </c>
      <c r="I77" s="2" t="s">
        <v>8</v>
      </c>
      <c r="J77" s="4">
        <v>45275</v>
      </c>
    </row>
    <row r="78" spans="1:10" x14ac:dyDescent="0.2">
      <c r="A78" s="2" t="s">
        <v>88</v>
      </c>
      <c r="B78" s="2" t="s">
        <v>262</v>
      </c>
      <c r="C78" s="7" t="s">
        <v>311</v>
      </c>
      <c r="D78" s="2">
        <v>3</v>
      </c>
      <c r="E78" s="2">
        <v>45000</v>
      </c>
      <c r="F78" s="2">
        <f t="shared" si="4"/>
        <v>135000</v>
      </c>
      <c r="G78" s="2" t="str">
        <f t="shared" si="5"/>
        <v>Nhỏ</v>
      </c>
      <c r="H78" s="2" t="s">
        <v>7</v>
      </c>
      <c r="I78" s="2" t="s">
        <v>10</v>
      </c>
      <c r="J78" s="4">
        <v>45276</v>
      </c>
    </row>
    <row r="79" spans="1:10" x14ac:dyDescent="0.2">
      <c r="A79" s="2" t="s">
        <v>89</v>
      </c>
      <c r="B79" s="2" t="s">
        <v>263</v>
      </c>
      <c r="C79" s="7" t="s">
        <v>310</v>
      </c>
      <c r="D79" s="2">
        <v>1</v>
      </c>
      <c r="E79" s="2">
        <v>45000</v>
      </c>
      <c r="F79" s="2">
        <f t="shared" si="4"/>
        <v>45000</v>
      </c>
      <c r="G79" s="2" t="str">
        <f t="shared" si="5"/>
        <v>Nhỏ</v>
      </c>
      <c r="H79" s="2" t="s">
        <v>9</v>
      </c>
      <c r="I79" s="2" t="s">
        <v>11</v>
      </c>
      <c r="J79" s="4">
        <v>45277</v>
      </c>
    </row>
    <row r="80" spans="1:10" x14ac:dyDescent="0.2">
      <c r="A80" s="2" t="s">
        <v>90</v>
      </c>
      <c r="B80" s="2" t="s">
        <v>264</v>
      </c>
      <c r="C80" s="7" t="s">
        <v>312</v>
      </c>
      <c r="D80" s="2">
        <v>2</v>
      </c>
      <c r="E80" s="2">
        <v>35000</v>
      </c>
      <c r="F80" s="2">
        <f t="shared" si="4"/>
        <v>70000</v>
      </c>
      <c r="G80" s="2" t="str">
        <f t="shared" si="5"/>
        <v>Nhỏ</v>
      </c>
      <c r="H80" s="2" t="s">
        <v>5</v>
      </c>
      <c r="I80" s="2" t="s">
        <v>6</v>
      </c>
      <c r="J80" s="4">
        <v>45278</v>
      </c>
    </row>
    <row r="81" spans="1:10" x14ac:dyDescent="0.2">
      <c r="A81" s="2" t="s">
        <v>91</v>
      </c>
      <c r="B81" s="2" t="s">
        <v>265</v>
      </c>
      <c r="C81" s="7" t="s">
        <v>313</v>
      </c>
      <c r="D81" s="2">
        <v>5</v>
      </c>
      <c r="E81" s="2">
        <v>15000</v>
      </c>
      <c r="F81" s="2">
        <f t="shared" si="4"/>
        <v>75000</v>
      </c>
      <c r="G81" s="2" t="str">
        <f t="shared" si="5"/>
        <v>Nhỏ</v>
      </c>
      <c r="H81" s="2" t="s">
        <v>7</v>
      </c>
      <c r="I81" s="2" t="s">
        <v>8</v>
      </c>
      <c r="J81" s="4">
        <v>45279</v>
      </c>
    </row>
    <row r="82" spans="1:10" x14ac:dyDescent="0.2">
      <c r="A82" s="2" t="s">
        <v>92</v>
      </c>
      <c r="B82" s="2" t="s">
        <v>266</v>
      </c>
      <c r="C82" s="7" t="s">
        <v>310</v>
      </c>
      <c r="D82" s="2">
        <v>1</v>
      </c>
      <c r="E82" s="2">
        <v>55000</v>
      </c>
      <c r="F82" s="2">
        <f t="shared" si="4"/>
        <v>55000</v>
      </c>
      <c r="G82" s="2" t="str">
        <f t="shared" si="5"/>
        <v>Trung bình</v>
      </c>
      <c r="H82" s="2" t="s">
        <v>9</v>
      </c>
      <c r="I82" s="2" t="s">
        <v>10</v>
      </c>
      <c r="J82" s="4">
        <v>45280</v>
      </c>
    </row>
    <row r="83" spans="1:10" x14ac:dyDescent="0.2">
      <c r="A83" s="2" t="s">
        <v>93</v>
      </c>
      <c r="B83" s="2" t="s">
        <v>267</v>
      </c>
      <c r="C83" s="7" t="s">
        <v>312</v>
      </c>
      <c r="D83" s="2">
        <v>3</v>
      </c>
      <c r="E83" s="2">
        <v>40000</v>
      </c>
      <c r="F83" s="2">
        <f t="shared" si="4"/>
        <v>120000</v>
      </c>
      <c r="G83" s="2" t="str">
        <f t="shared" si="5"/>
        <v>Nhỏ</v>
      </c>
      <c r="H83" s="2" t="s">
        <v>5</v>
      </c>
      <c r="I83" s="2" t="s">
        <v>11</v>
      </c>
      <c r="J83" s="4">
        <v>45281</v>
      </c>
    </row>
    <row r="84" spans="1:10" x14ac:dyDescent="0.2">
      <c r="A84" s="2" t="s">
        <v>94</v>
      </c>
      <c r="B84" s="2" t="s">
        <v>268</v>
      </c>
      <c r="C84" s="7" t="s">
        <v>313</v>
      </c>
      <c r="D84" s="2">
        <v>1</v>
      </c>
      <c r="E84" s="2">
        <v>35000</v>
      </c>
      <c r="F84" s="2">
        <f t="shared" si="4"/>
        <v>35000</v>
      </c>
      <c r="G84" s="2" t="str">
        <f t="shared" si="5"/>
        <v>Nhỏ</v>
      </c>
      <c r="H84" s="2" t="s">
        <v>7</v>
      </c>
      <c r="I84" s="2" t="s">
        <v>6</v>
      </c>
      <c r="J84" s="4">
        <v>45282</v>
      </c>
    </row>
    <row r="85" spans="1:10" x14ac:dyDescent="0.2">
      <c r="A85" s="2" t="s">
        <v>95</v>
      </c>
      <c r="B85" s="2" t="s">
        <v>269</v>
      </c>
      <c r="C85" s="7" t="s">
        <v>311</v>
      </c>
      <c r="D85" s="2">
        <v>2</v>
      </c>
      <c r="E85" s="2">
        <v>55000</v>
      </c>
      <c r="F85" s="2">
        <f t="shared" si="4"/>
        <v>110000</v>
      </c>
      <c r="G85" s="2" t="str">
        <f t="shared" si="5"/>
        <v>Trung bình</v>
      </c>
      <c r="H85" s="2" t="s">
        <v>9</v>
      </c>
      <c r="I85" s="2" t="s">
        <v>8</v>
      </c>
      <c r="J85" s="4">
        <v>45283</v>
      </c>
    </row>
    <row r="86" spans="1:10" x14ac:dyDescent="0.2">
      <c r="A86" s="2" t="s">
        <v>96</v>
      </c>
      <c r="B86" s="2" t="s">
        <v>270</v>
      </c>
      <c r="C86" s="7" t="s">
        <v>310</v>
      </c>
      <c r="D86" s="2">
        <v>1</v>
      </c>
      <c r="E86" s="2">
        <v>50000</v>
      </c>
      <c r="F86" s="2">
        <f t="shared" si="4"/>
        <v>50000</v>
      </c>
      <c r="G86" s="2" t="str">
        <f t="shared" si="5"/>
        <v>Trung bình</v>
      </c>
      <c r="H86" s="2" t="s">
        <v>5</v>
      </c>
      <c r="I86" s="2" t="s">
        <v>10</v>
      </c>
      <c r="J86" s="4">
        <v>45284</v>
      </c>
    </row>
    <row r="87" spans="1:10" x14ac:dyDescent="0.2">
      <c r="A87" s="2" t="s">
        <v>97</v>
      </c>
      <c r="B87" s="2" t="s">
        <v>271</v>
      </c>
      <c r="C87" s="7" t="s">
        <v>312</v>
      </c>
      <c r="D87" s="2">
        <v>4</v>
      </c>
      <c r="E87" s="2">
        <v>45000</v>
      </c>
      <c r="F87" s="2">
        <f t="shared" si="4"/>
        <v>180000</v>
      </c>
      <c r="G87" s="2" t="str">
        <f t="shared" si="5"/>
        <v>Nhỏ</v>
      </c>
      <c r="H87" s="2" t="s">
        <v>7</v>
      </c>
      <c r="I87" s="2" t="s">
        <v>11</v>
      </c>
      <c r="J87" s="4">
        <v>45285</v>
      </c>
    </row>
    <row r="88" spans="1:10" x14ac:dyDescent="0.2">
      <c r="A88" s="2" t="s">
        <v>98</v>
      </c>
      <c r="B88" s="2" t="s">
        <v>272</v>
      </c>
      <c r="C88" s="7" t="s">
        <v>313</v>
      </c>
      <c r="D88" s="2">
        <v>2</v>
      </c>
      <c r="E88" s="2">
        <v>30000</v>
      </c>
      <c r="F88" s="2">
        <f t="shared" si="4"/>
        <v>60000</v>
      </c>
      <c r="G88" s="2" t="str">
        <f t="shared" si="5"/>
        <v>Nhỏ</v>
      </c>
      <c r="H88" s="2" t="s">
        <v>9</v>
      </c>
      <c r="I88" s="2" t="s">
        <v>6</v>
      </c>
      <c r="J88" s="4">
        <v>45286</v>
      </c>
    </row>
    <row r="89" spans="1:10" x14ac:dyDescent="0.2">
      <c r="A89" s="2" t="s">
        <v>99</v>
      </c>
      <c r="B89" s="2" t="s">
        <v>273</v>
      </c>
      <c r="C89" s="7" t="s">
        <v>310</v>
      </c>
      <c r="D89" s="2">
        <v>2</v>
      </c>
      <c r="E89" s="2">
        <v>45000</v>
      </c>
      <c r="F89" s="2">
        <f t="shared" si="4"/>
        <v>90000</v>
      </c>
      <c r="G89" s="2" t="str">
        <f t="shared" si="5"/>
        <v>Nhỏ</v>
      </c>
      <c r="H89" s="2" t="s">
        <v>5</v>
      </c>
      <c r="I89" s="2" t="s">
        <v>8</v>
      </c>
      <c r="J89" s="4">
        <v>45287</v>
      </c>
    </row>
    <row r="90" spans="1:10" x14ac:dyDescent="0.2">
      <c r="A90" s="2" t="s">
        <v>100</v>
      </c>
      <c r="B90" s="2" t="s">
        <v>227</v>
      </c>
      <c r="C90" s="7" t="s">
        <v>312</v>
      </c>
      <c r="D90" s="2">
        <v>3</v>
      </c>
      <c r="E90" s="2">
        <v>40000</v>
      </c>
      <c r="F90" s="2">
        <f t="shared" si="4"/>
        <v>120000</v>
      </c>
      <c r="G90" s="2" t="str">
        <f t="shared" si="5"/>
        <v>Nhỏ</v>
      </c>
      <c r="H90" s="2" t="s">
        <v>7</v>
      </c>
      <c r="I90" s="2" t="s">
        <v>10</v>
      </c>
      <c r="J90" s="4">
        <v>45288</v>
      </c>
    </row>
    <row r="91" spans="1:10" x14ac:dyDescent="0.2">
      <c r="A91" s="2" t="s">
        <v>101</v>
      </c>
      <c r="B91" s="2" t="s">
        <v>274</v>
      </c>
      <c r="C91" s="7" t="s">
        <v>311</v>
      </c>
      <c r="D91" s="2">
        <v>1</v>
      </c>
      <c r="E91" s="2">
        <v>50000</v>
      </c>
      <c r="F91" s="2">
        <f t="shared" si="4"/>
        <v>50000</v>
      </c>
      <c r="G91" s="2" t="str">
        <f t="shared" si="5"/>
        <v>Trung bình</v>
      </c>
      <c r="H91" s="2" t="s">
        <v>9</v>
      </c>
      <c r="I91" s="2" t="s">
        <v>11</v>
      </c>
      <c r="J91" s="4">
        <v>45289</v>
      </c>
    </row>
    <row r="92" spans="1:10" x14ac:dyDescent="0.2">
      <c r="A92" s="2" t="s">
        <v>102</v>
      </c>
      <c r="B92" s="2" t="s">
        <v>275</v>
      </c>
      <c r="C92" s="7" t="s">
        <v>310</v>
      </c>
      <c r="D92" s="2">
        <v>2</v>
      </c>
      <c r="E92" s="2">
        <v>25000</v>
      </c>
      <c r="F92" s="2">
        <f t="shared" si="4"/>
        <v>50000</v>
      </c>
      <c r="G92" s="2" t="str">
        <f t="shared" si="5"/>
        <v>Nhỏ</v>
      </c>
      <c r="H92" s="2" t="s">
        <v>5</v>
      </c>
      <c r="I92" s="2" t="s">
        <v>6</v>
      </c>
      <c r="J92" s="4">
        <v>45290</v>
      </c>
    </row>
    <row r="93" spans="1:10" x14ac:dyDescent="0.2">
      <c r="A93" s="2" t="s">
        <v>103</v>
      </c>
      <c r="B93" s="2" t="s">
        <v>276</v>
      </c>
      <c r="C93" s="7" t="s">
        <v>312</v>
      </c>
      <c r="D93" s="2">
        <v>1</v>
      </c>
      <c r="E93" s="2">
        <v>55000</v>
      </c>
      <c r="F93" s="2">
        <f t="shared" si="4"/>
        <v>55000</v>
      </c>
      <c r="G93" s="2" t="str">
        <f t="shared" si="5"/>
        <v>Trung bình</v>
      </c>
      <c r="H93" s="2" t="s">
        <v>7</v>
      </c>
      <c r="I93" s="2" t="s">
        <v>8</v>
      </c>
      <c r="J93" s="4">
        <v>45291</v>
      </c>
    </row>
    <row r="94" spans="1:10" x14ac:dyDescent="0.2">
      <c r="A94" s="2" t="s">
        <v>104</v>
      </c>
      <c r="B94" s="2" t="s">
        <v>230</v>
      </c>
      <c r="C94" s="7" t="s">
        <v>313</v>
      </c>
      <c r="D94" s="2">
        <v>2</v>
      </c>
      <c r="E94" s="2">
        <v>40000</v>
      </c>
      <c r="F94" s="2">
        <f t="shared" si="4"/>
        <v>80000</v>
      </c>
      <c r="G94" s="2" t="str">
        <f t="shared" si="5"/>
        <v>Nhỏ</v>
      </c>
      <c r="H94" s="2" t="s">
        <v>9</v>
      </c>
      <c r="I94" s="2" t="s">
        <v>10</v>
      </c>
      <c r="J94" s="4">
        <v>45292</v>
      </c>
    </row>
    <row r="95" spans="1:10" x14ac:dyDescent="0.2">
      <c r="A95" s="2" t="s">
        <v>105</v>
      </c>
      <c r="B95" s="2" t="s">
        <v>277</v>
      </c>
      <c r="C95" s="7" t="s">
        <v>311</v>
      </c>
      <c r="D95" s="2">
        <v>3</v>
      </c>
      <c r="E95" s="2">
        <v>40000</v>
      </c>
      <c r="F95" s="2">
        <f t="shared" si="4"/>
        <v>120000</v>
      </c>
      <c r="G95" s="2" t="str">
        <f t="shared" si="5"/>
        <v>Nhỏ</v>
      </c>
      <c r="H95" s="2" t="s">
        <v>5</v>
      </c>
      <c r="I95" s="2" t="s">
        <v>11</v>
      </c>
      <c r="J95" s="4">
        <v>45323</v>
      </c>
    </row>
    <row r="96" spans="1:10" x14ac:dyDescent="0.2">
      <c r="A96" s="2" t="s">
        <v>106</v>
      </c>
      <c r="B96" s="2" t="s">
        <v>278</v>
      </c>
      <c r="C96" s="7" t="s">
        <v>310</v>
      </c>
      <c r="D96" s="2">
        <v>1</v>
      </c>
      <c r="E96" s="2">
        <v>45000</v>
      </c>
      <c r="F96" s="2">
        <f t="shared" si="4"/>
        <v>45000</v>
      </c>
      <c r="G96" s="2" t="str">
        <f t="shared" si="5"/>
        <v>Nhỏ</v>
      </c>
      <c r="H96" s="2" t="s">
        <v>7</v>
      </c>
      <c r="I96" s="2" t="s">
        <v>6</v>
      </c>
      <c r="J96" s="4">
        <v>45352</v>
      </c>
    </row>
    <row r="97" spans="1:10" x14ac:dyDescent="0.2">
      <c r="A97" s="2" t="s">
        <v>107</v>
      </c>
      <c r="B97" s="2" t="s">
        <v>279</v>
      </c>
      <c r="C97" s="7" t="s">
        <v>312</v>
      </c>
      <c r="D97" s="2">
        <v>2</v>
      </c>
      <c r="E97" s="2">
        <v>38000</v>
      </c>
      <c r="F97" s="2">
        <f t="shared" si="4"/>
        <v>76000</v>
      </c>
      <c r="G97" s="2" t="str">
        <f t="shared" si="5"/>
        <v>Nhỏ</v>
      </c>
      <c r="H97" s="2" t="s">
        <v>9</v>
      </c>
      <c r="I97" s="2" t="s">
        <v>8</v>
      </c>
      <c r="J97" s="4">
        <v>45295</v>
      </c>
    </row>
    <row r="98" spans="1:10" x14ac:dyDescent="0.2">
      <c r="A98" s="2" t="s">
        <v>108</v>
      </c>
      <c r="B98" s="2" t="s">
        <v>280</v>
      </c>
      <c r="C98" s="7" t="s">
        <v>313</v>
      </c>
      <c r="D98" s="2">
        <v>4</v>
      </c>
      <c r="E98" s="2">
        <v>30000</v>
      </c>
      <c r="F98" s="2">
        <f t="shared" ref="F98:F129" si="6">(D98)*(E98)</f>
        <v>120000</v>
      </c>
      <c r="G98" s="2" t="str">
        <f t="shared" ref="G98:G129" si="7">IF(E98&gt;=100000,"Lớn",IF(E98&gt;=50000,"Trung bình","Nhỏ"))</f>
        <v>Nhỏ</v>
      </c>
      <c r="H98" s="2" t="s">
        <v>5</v>
      </c>
      <c r="I98" s="2" t="s">
        <v>10</v>
      </c>
      <c r="J98" s="4">
        <v>45413</v>
      </c>
    </row>
    <row r="99" spans="1:10" x14ac:dyDescent="0.2">
      <c r="A99" s="2" t="s">
        <v>109</v>
      </c>
      <c r="B99" s="2" t="s">
        <v>281</v>
      </c>
      <c r="C99" s="7" t="s">
        <v>310</v>
      </c>
      <c r="D99" s="2">
        <v>1</v>
      </c>
      <c r="E99" s="2">
        <v>29000</v>
      </c>
      <c r="F99" s="2">
        <f t="shared" si="6"/>
        <v>29000</v>
      </c>
      <c r="G99" s="2" t="str">
        <f t="shared" si="7"/>
        <v>Nhỏ</v>
      </c>
      <c r="H99" s="2" t="s">
        <v>7</v>
      </c>
      <c r="I99" s="2" t="s">
        <v>11</v>
      </c>
      <c r="J99" s="4">
        <v>45444</v>
      </c>
    </row>
    <row r="100" spans="1:10" x14ac:dyDescent="0.2">
      <c r="A100" s="2" t="s">
        <v>110</v>
      </c>
      <c r="B100" s="2" t="s">
        <v>282</v>
      </c>
      <c r="C100" s="7" t="s">
        <v>312</v>
      </c>
      <c r="D100" s="2">
        <v>2</v>
      </c>
      <c r="E100" s="2">
        <v>45000</v>
      </c>
      <c r="F100" s="2">
        <f t="shared" si="6"/>
        <v>90000</v>
      </c>
      <c r="G100" s="2" t="str">
        <f t="shared" si="7"/>
        <v>Nhỏ</v>
      </c>
      <c r="H100" s="2" t="s">
        <v>9</v>
      </c>
      <c r="I100" s="2" t="s">
        <v>6</v>
      </c>
      <c r="J100" s="4">
        <v>45298</v>
      </c>
    </row>
    <row r="101" spans="1:10" x14ac:dyDescent="0.2">
      <c r="A101" s="2" t="s">
        <v>111</v>
      </c>
      <c r="B101" s="2" t="s">
        <v>238</v>
      </c>
      <c r="C101" s="7" t="s">
        <v>311</v>
      </c>
      <c r="D101" s="2">
        <v>1</v>
      </c>
      <c r="E101" s="2">
        <v>50000</v>
      </c>
      <c r="F101" s="2">
        <f t="shared" si="6"/>
        <v>50000</v>
      </c>
      <c r="G101" s="2" t="str">
        <f t="shared" si="7"/>
        <v>Trung bình</v>
      </c>
      <c r="H101" s="2" t="s">
        <v>5</v>
      </c>
      <c r="I101" s="2" t="s">
        <v>8</v>
      </c>
      <c r="J101" s="4">
        <v>45505</v>
      </c>
    </row>
    <row r="102" spans="1:10" x14ac:dyDescent="0.2">
      <c r="A102" s="2" t="s">
        <v>112</v>
      </c>
      <c r="B102" s="2" t="s">
        <v>216</v>
      </c>
      <c r="C102" s="7" t="s">
        <v>310</v>
      </c>
      <c r="D102" s="2">
        <v>2</v>
      </c>
      <c r="E102" s="2">
        <v>25000</v>
      </c>
      <c r="F102" s="2">
        <f t="shared" si="6"/>
        <v>50000</v>
      </c>
      <c r="G102" s="2" t="str">
        <f t="shared" si="7"/>
        <v>Nhỏ</v>
      </c>
      <c r="H102" s="2" t="s">
        <v>5</v>
      </c>
      <c r="I102" s="2" t="s">
        <v>6</v>
      </c>
      <c r="J102" s="4">
        <v>45300</v>
      </c>
    </row>
    <row r="103" spans="1:10" x14ac:dyDescent="0.2">
      <c r="A103" s="2" t="s">
        <v>113</v>
      </c>
      <c r="B103" s="2" t="s">
        <v>227</v>
      </c>
      <c r="C103" s="7" t="s">
        <v>312</v>
      </c>
      <c r="D103" s="2">
        <v>1</v>
      </c>
      <c r="E103" s="2">
        <v>40000</v>
      </c>
      <c r="F103" s="2">
        <f t="shared" si="6"/>
        <v>40000</v>
      </c>
      <c r="G103" s="2" t="str">
        <f t="shared" si="7"/>
        <v>Nhỏ</v>
      </c>
      <c r="H103" s="2" t="s">
        <v>7</v>
      </c>
      <c r="I103" s="2" t="s">
        <v>8</v>
      </c>
      <c r="J103" s="4">
        <v>45566</v>
      </c>
    </row>
    <row r="104" spans="1:10" x14ac:dyDescent="0.2">
      <c r="A104" s="2" t="s">
        <v>114</v>
      </c>
      <c r="B104" s="2" t="s">
        <v>215</v>
      </c>
      <c r="C104" s="7" t="s">
        <v>311</v>
      </c>
      <c r="D104" s="2">
        <v>1</v>
      </c>
      <c r="E104" s="2">
        <v>55000</v>
      </c>
      <c r="F104" s="2">
        <f t="shared" si="6"/>
        <v>55000</v>
      </c>
      <c r="G104" s="2" t="str">
        <f t="shared" si="7"/>
        <v>Trung bình</v>
      </c>
      <c r="H104" s="2" t="s">
        <v>9</v>
      </c>
      <c r="I104" s="2" t="s">
        <v>10</v>
      </c>
      <c r="J104" s="4">
        <v>45597</v>
      </c>
    </row>
    <row r="105" spans="1:10" x14ac:dyDescent="0.2">
      <c r="A105" s="2" t="s">
        <v>115</v>
      </c>
      <c r="B105" s="2" t="s">
        <v>214</v>
      </c>
      <c r="C105" s="7" t="s">
        <v>310</v>
      </c>
      <c r="D105" s="2">
        <v>3</v>
      </c>
      <c r="E105" s="2">
        <v>35000</v>
      </c>
      <c r="F105" s="2">
        <f t="shared" si="6"/>
        <v>105000</v>
      </c>
      <c r="G105" s="2" t="str">
        <f t="shared" si="7"/>
        <v>Nhỏ</v>
      </c>
      <c r="H105" s="2" t="s">
        <v>5</v>
      </c>
      <c r="I105" s="2" t="s">
        <v>11</v>
      </c>
      <c r="J105" s="4">
        <v>45303</v>
      </c>
    </row>
    <row r="106" spans="1:10" x14ac:dyDescent="0.2">
      <c r="A106" s="2" t="s">
        <v>116</v>
      </c>
      <c r="B106" s="2" t="s">
        <v>217</v>
      </c>
      <c r="C106" s="7" t="s">
        <v>312</v>
      </c>
      <c r="D106" s="2">
        <v>2</v>
      </c>
      <c r="E106" s="2">
        <v>45000</v>
      </c>
      <c r="F106" s="2">
        <f t="shared" si="6"/>
        <v>90000</v>
      </c>
      <c r="G106" s="2" t="str">
        <f t="shared" si="7"/>
        <v>Nhỏ</v>
      </c>
      <c r="H106" s="2" t="s">
        <v>7</v>
      </c>
      <c r="I106" s="2" t="s">
        <v>6</v>
      </c>
      <c r="J106" s="4">
        <v>45304</v>
      </c>
    </row>
    <row r="107" spans="1:10" x14ac:dyDescent="0.2">
      <c r="A107" s="2" t="s">
        <v>117</v>
      </c>
      <c r="B107" s="2" t="s">
        <v>219</v>
      </c>
      <c r="C107" s="7" t="s">
        <v>313</v>
      </c>
      <c r="D107" s="2">
        <v>4</v>
      </c>
      <c r="E107" s="2">
        <v>40000</v>
      </c>
      <c r="F107" s="2">
        <f t="shared" si="6"/>
        <v>160000</v>
      </c>
      <c r="G107" s="2" t="str">
        <f t="shared" si="7"/>
        <v>Nhỏ</v>
      </c>
      <c r="H107" s="2" t="s">
        <v>9</v>
      </c>
      <c r="I107" s="2" t="s">
        <v>8</v>
      </c>
      <c r="J107" s="4">
        <v>45305</v>
      </c>
    </row>
    <row r="108" spans="1:10" x14ac:dyDescent="0.2">
      <c r="A108" s="2" t="s">
        <v>118</v>
      </c>
      <c r="B108" s="2" t="s">
        <v>220</v>
      </c>
      <c r="C108" s="7" t="s">
        <v>310</v>
      </c>
      <c r="D108" s="2">
        <v>5</v>
      </c>
      <c r="E108" s="2">
        <v>29000</v>
      </c>
      <c r="F108" s="2">
        <f t="shared" si="6"/>
        <v>145000</v>
      </c>
      <c r="G108" s="2" t="str">
        <f t="shared" si="7"/>
        <v>Nhỏ</v>
      </c>
      <c r="H108" s="2" t="s">
        <v>5</v>
      </c>
      <c r="I108" s="2" t="s">
        <v>10</v>
      </c>
      <c r="J108" s="4">
        <v>45306</v>
      </c>
    </row>
    <row r="109" spans="1:10" x14ac:dyDescent="0.2">
      <c r="A109" s="2" t="s">
        <v>119</v>
      </c>
      <c r="B109" s="2" t="s">
        <v>221</v>
      </c>
      <c r="C109" s="7" t="s">
        <v>312</v>
      </c>
      <c r="D109" s="2">
        <v>2</v>
      </c>
      <c r="E109" s="2">
        <v>42000</v>
      </c>
      <c r="F109" s="2">
        <f t="shared" si="6"/>
        <v>84000</v>
      </c>
      <c r="G109" s="2" t="str">
        <f t="shared" si="7"/>
        <v>Nhỏ</v>
      </c>
      <c r="H109" s="2" t="s">
        <v>7</v>
      </c>
      <c r="I109" s="2" t="s">
        <v>11</v>
      </c>
      <c r="J109" s="4">
        <v>45307</v>
      </c>
    </row>
    <row r="110" spans="1:10" x14ac:dyDescent="0.2">
      <c r="A110" s="2" t="s">
        <v>120</v>
      </c>
      <c r="B110" s="2" t="s">
        <v>222</v>
      </c>
      <c r="C110" s="7" t="s">
        <v>311</v>
      </c>
      <c r="D110" s="2">
        <v>1</v>
      </c>
      <c r="E110" s="2">
        <v>50000</v>
      </c>
      <c r="F110" s="2">
        <f t="shared" si="6"/>
        <v>50000</v>
      </c>
      <c r="G110" s="2" t="str">
        <f t="shared" si="7"/>
        <v>Trung bình</v>
      </c>
      <c r="H110" s="2" t="s">
        <v>9</v>
      </c>
      <c r="I110" s="2" t="s">
        <v>6</v>
      </c>
      <c r="J110" s="4">
        <v>45308</v>
      </c>
    </row>
    <row r="111" spans="1:10" x14ac:dyDescent="0.2">
      <c r="A111" s="2" t="s">
        <v>121</v>
      </c>
      <c r="B111" s="2" t="s">
        <v>223</v>
      </c>
      <c r="C111" s="7" t="s">
        <v>310</v>
      </c>
      <c r="D111" s="2">
        <v>2</v>
      </c>
      <c r="E111" s="2">
        <v>45000</v>
      </c>
      <c r="F111" s="2">
        <f t="shared" si="6"/>
        <v>90000</v>
      </c>
      <c r="G111" s="2" t="str">
        <f t="shared" si="7"/>
        <v>Nhỏ</v>
      </c>
      <c r="H111" s="2" t="s">
        <v>5</v>
      </c>
      <c r="I111" s="2" t="s">
        <v>8</v>
      </c>
      <c r="J111" s="4">
        <v>45309</v>
      </c>
    </row>
    <row r="112" spans="1:10" x14ac:dyDescent="0.2">
      <c r="A112" s="2" t="s">
        <v>122</v>
      </c>
      <c r="B112" s="2" t="s">
        <v>224</v>
      </c>
      <c r="C112" s="7" t="s">
        <v>310</v>
      </c>
      <c r="D112" s="2">
        <v>1</v>
      </c>
      <c r="E112" s="2">
        <v>48000</v>
      </c>
      <c r="F112" s="2">
        <f t="shared" si="6"/>
        <v>48000</v>
      </c>
      <c r="G112" s="2" t="str">
        <f t="shared" si="7"/>
        <v>Nhỏ</v>
      </c>
      <c r="H112" s="2" t="s">
        <v>7</v>
      </c>
      <c r="I112" s="2" t="s">
        <v>10</v>
      </c>
      <c r="J112" s="4">
        <v>45310</v>
      </c>
    </row>
    <row r="113" spans="1:10" x14ac:dyDescent="0.2">
      <c r="A113" s="2" t="s">
        <v>123</v>
      </c>
      <c r="B113" s="2" t="s">
        <v>225</v>
      </c>
      <c r="C113" s="7" t="s">
        <v>312</v>
      </c>
      <c r="D113" s="2">
        <v>3</v>
      </c>
      <c r="E113" s="2">
        <v>35000</v>
      </c>
      <c r="F113" s="2">
        <f t="shared" si="6"/>
        <v>105000</v>
      </c>
      <c r="G113" s="2" t="str">
        <f t="shared" si="7"/>
        <v>Nhỏ</v>
      </c>
      <c r="H113" s="2" t="s">
        <v>9</v>
      </c>
      <c r="I113" s="2" t="s">
        <v>11</v>
      </c>
      <c r="J113" s="4">
        <v>45311</v>
      </c>
    </row>
    <row r="114" spans="1:10" x14ac:dyDescent="0.2">
      <c r="A114" s="2" t="s">
        <v>124</v>
      </c>
      <c r="B114" s="2" t="s">
        <v>226</v>
      </c>
      <c r="C114" s="7" t="s">
        <v>313</v>
      </c>
      <c r="D114" s="2">
        <v>2</v>
      </c>
      <c r="E114" s="2">
        <v>38000</v>
      </c>
      <c r="F114" s="2">
        <f t="shared" si="6"/>
        <v>76000</v>
      </c>
      <c r="G114" s="2" t="str">
        <f t="shared" si="7"/>
        <v>Nhỏ</v>
      </c>
      <c r="H114" s="2" t="s">
        <v>5</v>
      </c>
      <c r="I114" s="2" t="s">
        <v>6</v>
      </c>
      <c r="J114" s="4">
        <v>45312</v>
      </c>
    </row>
    <row r="115" spans="1:10" x14ac:dyDescent="0.2">
      <c r="A115" s="2" t="s">
        <v>125</v>
      </c>
      <c r="B115" s="2" t="s">
        <v>233</v>
      </c>
      <c r="C115" s="7" t="s">
        <v>310</v>
      </c>
      <c r="D115" s="2">
        <v>1</v>
      </c>
      <c r="E115" s="2">
        <v>45000</v>
      </c>
      <c r="F115" s="2">
        <f t="shared" si="6"/>
        <v>45000</v>
      </c>
      <c r="G115" s="2" t="str">
        <f t="shared" si="7"/>
        <v>Nhỏ</v>
      </c>
      <c r="H115" s="2" t="s">
        <v>7</v>
      </c>
      <c r="I115" s="2" t="s">
        <v>8</v>
      </c>
      <c r="J115" s="4">
        <v>45313</v>
      </c>
    </row>
    <row r="116" spans="1:10" x14ac:dyDescent="0.2">
      <c r="A116" s="2" t="s">
        <v>126</v>
      </c>
      <c r="B116" s="2" t="s">
        <v>234</v>
      </c>
      <c r="C116" s="7" t="s">
        <v>312</v>
      </c>
      <c r="D116" s="2">
        <v>4</v>
      </c>
      <c r="E116" s="2">
        <v>30000</v>
      </c>
      <c r="F116" s="2">
        <f t="shared" si="6"/>
        <v>120000</v>
      </c>
      <c r="G116" s="2" t="str">
        <f t="shared" si="7"/>
        <v>Nhỏ</v>
      </c>
      <c r="H116" s="2" t="s">
        <v>9</v>
      </c>
      <c r="I116" s="2" t="s">
        <v>10</v>
      </c>
      <c r="J116" s="4">
        <v>45314</v>
      </c>
    </row>
    <row r="117" spans="1:10" x14ac:dyDescent="0.2">
      <c r="A117" s="2" t="s">
        <v>127</v>
      </c>
      <c r="B117" s="2" t="s">
        <v>228</v>
      </c>
      <c r="C117" s="7" t="s">
        <v>311</v>
      </c>
      <c r="D117" s="2">
        <v>2</v>
      </c>
      <c r="E117" s="2">
        <v>55000</v>
      </c>
      <c r="F117" s="2">
        <f t="shared" si="6"/>
        <v>110000</v>
      </c>
      <c r="G117" s="2" t="str">
        <f t="shared" si="7"/>
        <v>Trung bình</v>
      </c>
      <c r="H117" s="2" t="s">
        <v>5</v>
      </c>
      <c r="I117" s="2" t="s">
        <v>11</v>
      </c>
      <c r="J117" s="4">
        <v>45315</v>
      </c>
    </row>
    <row r="118" spans="1:10" x14ac:dyDescent="0.2">
      <c r="A118" s="2" t="s">
        <v>128</v>
      </c>
      <c r="B118" s="2" t="s">
        <v>235</v>
      </c>
      <c r="C118" s="7" t="s">
        <v>313</v>
      </c>
      <c r="D118" s="2">
        <v>1</v>
      </c>
      <c r="E118" s="2">
        <v>35000</v>
      </c>
      <c r="F118" s="2">
        <f t="shared" si="6"/>
        <v>35000</v>
      </c>
      <c r="G118" s="2" t="str">
        <f t="shared" si="7"/>
        <v>Nhỏ</v>
      </c>
      <c r="H118" s="2" t="s">
        <v>7</v>
      </c>
      <c r="I118" s="2" t="s">
        <v>6</v>
      </c>
      <c r="J118" s="4">
        <v>45316</v>
      </c>
    </row>
    <row r="119" spans="1:10" x14ac:dyDescent="0.2">
      <c r="A119" s="2" t="s">
        <v>129</v>
      </c>
      <c r="B119" s="2" t="s">
        <v>242</v>
      </c>
      <c r="C119" s="7" t="s">
        <v>310</v>
      </c>
      <c r="D119" s="2">
        <v>3</v>
      </c>
      <c r="E119" s="2">
        <v>45000</v>
      </c>
      <c r="F119" s="2">
        <f t="shared" si="6"/>
        <v>135000</v>
      </c>
      <c r="G119" s="2" t="str">
        <f t="shared" si="7"/>
        <v>Nhỏ</v>
      </c>
      <c r="H119" s="2" t="s">
        <v>9</v>
      </c>
      <c r="I119" s="2" t="s">
        <v>8</v>
      </c>
      <c r="J119" s="4">
        <v>45317</v>
      </c>
    </row>
    <row r="120" spans="1:10" x14ac:dyDescent="0.2">
      <c r="A120" s="2" t="s">
        <v>130</v>
      </c>
      <c r="B120" s="2" t="s">
        <v>271</v>
      </c>
      <c r="C120" s="7" t="s">
        <v>312</v>
      </c>
      <c r="D120" s="2">
        <v>2</v>
      </c>
      <c r="E120" s="2">
        <v>45000</v>
      </c>
      <c r="F120" s="2">
        <f t="shared" si="6"/>
        <v>90000</v>
      </c>
      <c r="G120" s="2" t="str">
        <f t="shared" si="7"/>
        <v>Nhỏ</v>
      </c>
      <c r="H120" s="2" t="s">
        <v>5</v>
      </c>
      <c r="I120" s="2" t="s">
        <v>10</v>
      </c>
      <c r="J120" s="4">
        <v>45318</v>
      </c>
    </row>
    <row r="121" spans="1:10" x14ac:dyDescent="0.2">
      <c r="A121" s="2" t="s">
        <v>131</v>
      </c>
      <c r="B121" s="2" t="s">
        <v>272</v>
      </c>
      <c r="C121" s="7" t="s">
        <v>313</v>
      </c>
      <c r="D121" s="2">
        <v>5</v>
      </c>
      <c r="E121" s="2">
        <v>30000</v>
      </c>
      <c r="F121" s="2">
        <f t="shared" si="6"/>
        <v>150000</v>
      </c>
      <c r="G121" s="2" t="str">
        <f t="shared" si="7"/>
        <v>Nhỏ</v>
      </c>
      <c r="H121" s="2" t="s">
        <v>7</v>
      </c>
      <c r="I121" s="2" t="s">
        <v>11</v>
      </c>
      <c r="J121" s="4">
        <v>45319</v>
      </c>
    </row>
    <row r="122" spans="1:10" x14ac:dyDescent="0.2">
      <c r="A122" s="2" t="s">
        <v>132</v>
      </c>
      <c r="B122" s="2" t="s">
        <v>253</v>
      </c>
      <c r="C122" s="7" t="s">
        <v>310</v>
      </c>
      <c r="D122" s="2">
        <v>1</v>
      </c>
      <c r="E122" s="2">
        <v>40000</v>
      </c>
      <c r="F122" s="2">
        <f t="shared" si="6"/>
        <v>40000</v>
      </c>
      <c r="G122" s="2" t="str">
        <f t="shared" si="7"/>
        <v>Nhỏ</v>
      </c>
      <c r="H122" s="2" t="s">
        <v>9</v>
      </c>
      <c r="I122" s="2" t="s">
        <v>6</v>
      </c>
      <c r="J122" s="4">
        <v>45320</v>
      </c>
    </row>
    <row r="123" spans="1:10" x14ac:dyDescent="0.2">
      <c r="A123" s="2" t="s">
        <v>133</v>
      </c>
      <c r="B123" s="2" t="s">
        <v>247</v>
      </c>
      <c r="C123" s="7" t="s">
        <v>312</v>
      </c>
      <c r="D123" s="2">
        <v>3</v>
      </c>
      <c r="E123" s="2">
        <v>38000</v>
      </c>
      <c r="F123" s="2">
        <f t="shared" si="6"/>
        <v>114000</v>
      </c>
      <c r="G123" s="2" t="str">
        <f t="shared" si="7"/>
        <v>Nhỏ</v>
      </c>
      <c r="H123" s="2" t="s">
        <v>5</v>
      </c>
      <c r="I123" s="2" t="s">
        <v>8</v>
      </c>
      <c r="J123" s="4">
        <v>45321</v>
      </c>
    </row>
    <row r="124" spans="1:10" x14ac:dyDescent="0.2">
      <c r="A124" s="2" t="s">
        <v>134</v>
      </c>
      <c r="B124" s="2" t="s">
        <v>274</v>
      </c>
      <c r="C124" s="7" t="s">
        <v>311</v>
      </c>
      <c r="D124" s="2">
        <v>2</v>
      </c>
      <c r="E124" s="2">
        <v>50000</v>
      </c>
      <c r="F124" s="2">
        <f t="shared" si="6"/>
        <v>100000</v>
      </c>
      <c r="G124" s="2" t="str">
        <f t="shared" si="7"/>
        <v>Trung bình</v>
      </c>
      <c r="H124" s="2" t="s">
        <v>7</v>
      </c>
      <c r="I124" s="2" t="s">
        <v>10</v>
      </c>
      <c r="J124" s="4">
        <v>45322</v>
      </c>
    </row>
    <row r="125" spans="1:10" x14ac:dyDescent="0.2">
      <c r="A125" s="2" t="s">
        <v>135</v>
      </c>
      <c r="B125" s="2" t="s">
        <v>236</v>
      </c>
      <c r="C125" s="7" t="s">
        <v>310</v>
      </c>
      <c r="D125" s="2">
        <v>1</v>
      </c>
      <c r="E125" s="2">
        <v>30000</v>
      </c>
      <c r="F125" s="2">
        <f t="shared" si="6"/>
        <v>30000</v>
      </c>
      <c r="G125" s="2" t="str">
        <f t="shared" si="7"/>
        <v>Nhỏ</v>
      </c>
      <c r="H125" s="2" t="s">
        <v>9</v>
      </c>
      <c r="I125" s="2" t="s">
        <v>11</v>
      </c>
      <c r="J125" s="4">
        <v>45293</v>
      </c>
    </row>
    <row r="126" spans="1:10" x14ac:dyDescent="0.2">
      <c r="A126" s="2" t="s">
        <v>136</v>
      </c>
      <c r="B126" s="2" t="s">
        <v>267</v>
      </c>
      <c r="C126" s="7" t="s">
        <v>312</v>
      </c>
      <c r="D126" s="2">
        <v>4</v>
      </c>
      <c r="E126" s="2">
        <v>40000</v>
      </c>
      <c r="F126" s="2">
        <f t="shared" si="6"/>
        <v>160000</v>
      </c>
      <c r="G126" s="2" t="str">
        <f t="shared" si="7"/>
        <v>Nhỏ</v>
      </c>
      <c r="H126" s="2" t="s">
        <v>5</v>
      </c>
      <c r="I126" s="2" t="s">
        <v>6</v>
      </c>
      <c r="J126" s="4">
        <v>45324</v>
      </c>
    </row>
    <row r="127" spans="1:10" x14ac:dyDescent="0.2">
      <c r="A127" s="2" t="s">
        <v>137</v>
      </c>
      <c r="B127" s="2" t="s">
        <v>218</v>
      </c>
      <c r="C127" s="7" t="s">
        <v>313</v>
      </c>
      <c r="D127" s="2">
        <v>2</v>
      </c>
      <c r="E127" s="2">
        <v>30000</v>
      </c>
      <c r="F127" s="2">
        <f t="shared" si="6"/>
        <v>60000</v>
      </c>
      <c r="G127" s="2" t="str">
        <f t="shared" si="7"/>
        <v>Nhỏ</v>
      </c>
      <c r="H127" s="2" t="s">
        <v>7</v>
      </c>
      <c r="I127" s="2" t="s">
        <v>8</v>
      </c>
      <c r="J127" s="4">
        <v>45353</v>
      </c>
    </row>
    <row r="128" spans="1:10" x14ac:dyDescent="0.2">
      <c r="A128" s="2" t="s">
        <v>138</v>
      </c>
      <c r="B128" s="2" t="s">
        <v>269</v>
      </c>
      <c r="C128" s="7" t="s">
        <v>311</v>
      </c>
      <c r="D128" s="2">
        <v>1</v>
      </c>
      <c r="E128" s="2">
        <v>55000</v>
      </c>
      <c r="F128" s="2">
        <f t="shared" si="6"/>
        <v>55000</v>
      </c>
      <c r="G128" s="2" t="str">
        <f t="shared" si="7"/>
        <v>Trung bình</v>
      </c>
      <c r="H128" s="2" t="s">
        <v>9</v>
      </c>
      <c r="I128" s="2" t="s">
        <v>10</v>
      </c>
      <c r="J128" s="4">
        <v>45384</v>
      </c>
    </row>
    <row r="129" spans="1:10" x14ac:dyDescent="0.2">
      <c r="A129" s="2" t="s">
        <v>139</v>
      </c>
      <c r="B129" s="2" t="s">
        <v>263</v>
      </c>
      <c r="C129" s="7" t="s">
        <v>310</v>
      </c>
      <c r="D129" s="2">
        <v>2</v>
      </c>
      <c r="E129" s="2">
        <v>45000</v>
      </c>
      <c r="F129" s="2">
        <f t="shared" si="6"/>
        <v>90000</v>
      </c>
      <c r="G129" s="2" t="str">
        <f t="shared" si="7"/>
        <v>Nhỏ</v>
      </c>
      <c r="H129" s="2" t="s">
        <v>5</v>
      </c>
      <c r="I129" s="2" t="s">
        <v>11</v>
      </c>
      <c r="J129" s="4">
        <v>45327</v>
      </c>
    </row>
    <row r="130" spans="1:10" x14ac:dyDescent="0.2">
      <c r="A130" s="2" t="s">
        <v>140</v>
      </c>
      <c r="B130" s="2" t="s">
        <v>255</v>
      </c>
      <c r="C130" s="7" t="s">
        <v>312</v>
      </c>
      <c r="D130" s="2">
        <v>5</v>
      </c>
      <c r="E130" s="2">
        <v>20000</v>
      </c>
      <c r="F130" s="2">
        <f t="shared" ref="F130:F161" si="8">(D130)*(E130)</f>
        <v>100000</v>
      </c>
      <c r="G130" s="2" t="str">
        <f t="shared" ref="G130:G161" si="9">IF(E130&gt;=100000,"Lớn",IF(E130&gt;=50000,"Trung bình","Nhỏ"))</f>
        <v>Nhỏ</v>
      </c>
      <c r="H130" s="2" t="s">
        <v>7</v>
      </c>
      <c r="I130" s="2" t="s">
        <v>6</v>
      </c>
      <c r="J130" s="4">
        <v>45445</v>
      </c>
    </row>
    <row r="131" spans="1:10" x14ac:dyDescent="0.2">
      <c r="A131" s="2" t="s">
        <v>141</v>
      </c>
      <c r="B131" s="2" t="s">
        <v>243</v>
      </c>
      <c r="C131" s="7" t="s">
        <v>313</v>
      </c>
      <c r="D131" s="2">
        <v>3</v>
      </c>
      <c r="E131" s="2">
        <v>35000</v>
      </c>
      <c r="F131" s="2">
        <f t="shared" si="8"/>
        <v>105000</v>
      </c>
      <c r="G131" s="2" t="str">
        <f t="shared" si="9"/>
        <v>Nhỏ</v>
      </c>
      <c r="H131" s="2" t="s">
        <v>9</v>
      </c>
      <c r="I131" s="2" t="s">
        <v>8</v>
      </c>
      <c r="J131" s="4">
        <v>45475</v>
      </c>
    </row>
    <row r="132" spans="1:10" x14ac:dyDescent="0.2">
      <c r="A132" s="2" t="s">
        <v>142</v>
      </c>
      <c r="B132" s="2" t="s">
        <v>266</v>
      </c>
      <c r="C132" s="7" t="s">
        <v>310</v>
      </c>
      <c r="D132" s="2">
        <v>1</v>
      </c>
      <c r="E132" s="2">
        <v>55000</v>
      </c>
      <c r="F132" s="2">
        <f t="shared" si="8"/>
        <v>55000</v>
      </c>
      <c r="G132" s="2" t="str">
        <f t="shared" si="9"/>
        <v>Trung bình</v>
      </c>
      <c r="H132" s="2" t="s">
        <v>5</v>
      </c>
      <c r="I132" s="2" t="s">
        <v>10</v>
      </c>
      <c r="J132" s="4">
        <v>45330</v>
      </c>
    </row>
    <row r="133" spans="1:10" x14ac:dyDescent="0.2">
      <c r="A133" s="2" t="s">
        <v>143</v>
      </c>
      <c r="B133" s="2" t="s">
        <v>258</v>
      </c>
      <c r="C133" s="7" t="s">
        <v>312</v>
      </c>
      <c r="D133" s="2">
        <v>2</v>
      </c>
      <c r="E133" s="2">
        <v>42000</v>
      </c>
      <c r="F133" s="2">
        <f t="shared" si="8"/>
        <v>84000</v>
      </c>
      <c r="G133" s="2" t="str">
        <f t="shared" si="9"/>
        <v>Nhỏ</v>
      </c>
      <c r="H133" s="2" t="s">
        <v>7</v>
      </c>
      <c r="I133" s="2" t="s">
        <v>11</v>
      </c>
      <c r="J133" s="4">
        <v>45537</v>
      </c>
    </row>
    <row r="134" spans="1:10" x14ac:dyDescent="0.2">
      <c r="A134" s="2" t="s">
        <v>144</v>
      </c>
      <c r="B134" s="2" t="s">
        <v>232</v>
      </c>
      <c r="C134" s="7" t="s">
        <v>311</v>
      </c>
      <c r="D134" s="2">
        <v>4</v>
      </c>
      <c r="E134" s="2">
        <v>50000</v>
      </c>
      <c r="F134" s="2">
        <f t="shared" si="8"/>
        <v>200000</v>
      </c>
      <c r="G134" s="2" t="str">
        <f t="shared" si="9"/>
        <v>Trung bình</v>
      </c>
      <c r="H134" s="2" t="s">
        <v>9</v>
      </c>
      <c r="I134" s="2" t="s">
        <v>6</v>
      </c>
      <c r="J134" s="4">
        <v>45567</v>
      </c>
    </row>
    <row r="135" spans="1:10" x14ac:dyDescent="0.2">
      <c r="A135" s="2" t="s">
        <v>145</v>
      </c>
      <c r="B135" s="2" t="s">
        <v>246</v>
      </c>
      <c r="C135" s="7" t="s">
        <v>310</v>
      </c>
      <c r="D135" s="2">
        <v>2</v>
      </c>
      <c r="E135" s="2">
        <v>35000</v>
      </c>
      <c r="F135" s="2">
        <f t="shared" si="8"/>
        <v>70000</v>
      </c>
      <c r="G135" s="2" t="str">
        <f t="shared" si="9"/>
        <v>Nhỏ</v>
      </c>
      <c r="H135" s="2" t="s">
        <v>5</v>
      </c>
      <c r="I135" s="2" t="s">
        <v>8</v>
      </c>
      <c r="J135" s="4">
        <v>45333</v>
      </c>
    </row>
    <row r="136" spans="1:10" x14ac:dyDescent="0.2">
      <c r="A136" s="2" t="s">
        <v>146</v>
      </c>
      <c r="B136" s="2" t="s">
        <v>276</v>
      </c>
      <c r="C136" s="7" t="s">
        <v>312</v>
      </c>
      <c r="D136" s="2">
        <v>1</v>
      </c>
      <c r="E136" s="2">
        <v>55000</v>
      </c>
      <c r="F136" s="2">
        <f t="shared" si="8"/>
        <v>55000</v>
      </c>
      <c r="G136" s="2" t="str">
        <f t="shared" si="9"/>
        <v>Trung bình</v>
      </c>
      <c r="H136" s="2" t="s">
        <v>7</v>
      </c>
      <c r="I136" s="2" t="s">
        <v>10</v>
      </c>
      <c r="J136" s="4">
        <v>45628</v>
      </c>
    </row>
    <row r="137" spans="1:10" x14ac:dyDescent="0.2">
      <c r="A137" s="2" t="s">
        <v>147</v>
      </c>
      <c r="B137" s="2" t="s">
        <v>230</v>
      </c>
      <c r="C137" s="7" t="s">
        <v>313</v>
      </c>
      <c r="D137" s="2">
        <v>3</v>
      </c>
      <c r="E137" s="2">
        <v>40000</v>
      </c>
      <c r="F137" s="2">
        <f t="shared" si="8"/>
        <v>120000</v>
      </c>
      <c r="G137" s="2" t="str">
        <f t="shared" si="9"/>
        <v>Nhỏ</v>
      </c>
      <c r="H137" s="2" t="s">
        <v>9</v>
      </c>
      <c r="I137" s="2" t="s">
        <v>11</v>
      </c>
      <c r="J137" s="4">
        <v>45335</v>
      </c>
    </row>
    <row r="138" spans="1:10" x14ac:dyDescent="0.2">
      <c r="A138" s="2" t="s">
        <v>148</v>
      </c>
      <c r="B138" s="2" t="s">
        <v>239</v>
      </c>
      <c r="C138" s="7" t="s">
        <v>310</v>
      </c>
      <c r="D138" s="2">
        <v>2</v>
      </c>
      <c r="E138" s="2">
        <v>32000</v>
      </c>
      <c r="F138" s="2">
        <f t="shared" si="8"/>
        <v>64000</v>
      </c>
      <c r="G138" s="2" t="str">
        <f t="shared" si="9"/>
        <v>Nhỏ</v>
      </c>
      <c r="H138" s="2" t="s">
        <v>5</v>
      </c>
      <c r="I138" s="2" t="s">
        <v>6</v>
      </c>
      <c r="J138" s="4">
        <v>45336</v>
      </c>
    </row>
    <row r="139" spans="1:10" x14ac:dyDescent="0.2">
      <c r="A139" s="2" t="s">
        <v>149</v>
      </c>
      <c r="B139" s="2" t="s">
        <v>251</v>
      </c>
      <c r="C139" s="7" t="s">
        <v>312</v>
      </c>
      <c r="D139" s="2">
        <v>1</v>
      </c>
      <c r="E139" s="2">
        <v>35000</v>
      </c>
      <c r="F139" s="2">
        <f t="shared" si="8"/>
        <v>35000</v>
      </c>
      <c r="G139" s="2" t="str">
        <f t="shared" si="9"/>
        <v>Nhỏ</v>
      </c>
      <c r="H139" s="2" t="s">
        <v>7</v>
      </c>
      <c r="I139" s="2" t="s">
        <v>8</v>
      </c>
      <c r="J139" s="4">
        <v>45337</v>
      </c>
    </row>
    <row r="140" spans="1:10" x14ac:dyDescent="0.2">
      <c r="A140" s="2" t="s">
        <v>150</v>
      </c>
      <c r="B140" s="2" t="s">
        <v>277</v>
      </c>
      <c r="C140" s="7" t="s">
        <v>311</v>
      </c>
      <c r="D140" s="2">
        <v>5</v>
      </c>
      <c r="E140" s="2">
        <v>40000</v>
      </c>
      <c r="F140" s="2">
        <f t="shared" si="8"/>
        <v>200000</v>
      </c>
      <c r="G140" s="2" t="str">
        <f t="shared" si="9"/>
        <v>Nhỏ</v>
      </c>
      <c r="H140" s="2" t="s">
        <v>9</v>
      </c>
      <c r="I140" s="2" t="s">
        <v>10</v>
      </c>
      <c r="J140" s="4">
        <v>45338</v>
      </c>
    </row>
    <row r="141" spans="1:10" x14ac:dyDescent="0.2">
      <c r="A141" s="2" t="s">
        <v>151</v>
      </c>
      <c r="B141" s="2" t="s">
        <v>260</v>
      </c>
      <c r="C141" s="7" t="s">
        <v>310</v>
      </c>
      <c r="D141" s="2">
        <v>4</v>
      </c>
      <c r="E141" s="2">
        <v>29000</v>
      </c>
      <c r="F141" s="2">
        <f t="shared" si="8"/>
        <v>116000</v>
      </c>
      <c r="G141" s="2" t="str">
        <f t="shared" si="9"/>
        <v>Nhỏ</v>
      </c>
      <c r="H141" s="2" t="s">
        <v>5</v>
      </c>
      <c r="I141" s="2" t="s">
        <v>11</v>
      </c>
      <c r="J141" s="4">
        <v>45339</v>
      </c>
    </row>
    <row r="142" spans="1:10" x14ac:dyDescent="0.2">
      <c r="A142" s="2" t="s">
        <v>152</v>
      </c>
      <c r="B142" s="2" t="s">
        <v>237</v>
      </c>
      <c r="C142" s="7" t="s">
        <v>312</v>
      </c>
      <c r="D142" s="2">
        <v>2</v>
      </c>
      <c r="E142" s="2">
        <v>45000</v>
      </c>
      <c r="F142" s="2">
        <f t="shared" si="8"/>
        <v>90000</v>
      </c>
      <c r="G142" s="2" t="str">
        <f t="shared" si="9"/>
        <v>Nhỏ</v>
      </c>
      <c r="H142" s="2" t="s">
        <v>7</v>
      </c>
      <c r="I142" s="2" t="s">
        <v>6</v>
      </c>
      <c r="J142" s="4">
        <v>45340</v>
      </c>
    </row>
    <row r="143" spans="1:10" x14ac:dyDescent="0.2">
      <c r="A143" s="2" t="s">
        <v>153</v>
      </c>
      <c r="B143" s="2" t="s">
        <v>248</v>
      </c>
      <c r="C143" s="7" t="s">
        <v>313</v>
      </c>
      <c r="D143" s="2">
        <v>3</v>
      </c>
      <c r="E143" s="2">
        <v>30000</v>
      </c>
      <c r="F143" s="2">
        <f t="shared" si="8"/>
        <v>90000</v>
      </c>
      <c r="G143" s="2" t="str">
        <f t="shared" si="9"/>
        <v>Nhỏ</v>
      </c>
      <c r="H143" s="2" t="s">
        <v>9</v>
      </c>
      <c r="I143" s="2" t="s">
        <v>8</v>
      </c>
      <c r="J143" s="4">
        <v>45341</v>
      </c>
    </row>
    <row r="144" spans="1:10" x14ac:dyDescent="0.2">
      <c r="A144" s="2" t="s">
        <v>154</v>
      </c>
      <c r="B144" s="2" t="s">
        <v>257</v>
      </c>
      <c r="C144" s="7" t="s">
        <v>310</v>
      </c>
      <c r="D144" s="2">
        <v>1</v>
      </c>
      <c r="E144" s="2">
        <v>50000</v>
      </c>
      <c r="F144" s="2">
        <f t="shared" si="8"/>
        <v>50000</v>
      </c>
      <c r="G144" s="2" t="str">
        <f t="shared" si="9"/>
        <v>Trung bình</v>
      </c>
      <c r="H144" s="2" t="s">
        <v>5</v>
      </c>
      <c r="I144" s="2" t="s">
        <v>10</v>
      </c>
      <c r="J144" s="4">
        <v>45342</v>
      </c>
    </row>
    <row r="145" spans="1:10" x14ac:dyDescent="0.2">
      <c r="A145" s="2" t="s">
        <v>155</v>
      </c>
      <c r="B145" s="2" t="s">
        <v>264</v>
      </c>
      <c r="C145" s="7" t="s">
        <v>312</v>
      </c>
      <c r="D145" s="2">
        <v>2</v>
      </c>
      <c r="E145" s="2">
        <v>35000</v>
      </c>
      <c r="F145" s="2">
        <f t="shared" si="8"/>
        <v>70000</v>
      </c>
      <c r="G145" s="2" t="str">
        <f t="shared" si="9"/>
        <v>Nhỏ</v>
      </c>
      <c r="H145" s="2" t="s">
        <v>7</v>
      </c>
      <c r="I145" s="2" t="s">
        <v>11</v>
      </c>
      <c r="J145" s="4">
        <v>45343</v>
      </c>
    </row>
    <row r="146" spans="1:10" x14ac:dyDescent="0.2">
      <c r="A146" s="2" t="s">
        <v>156</v>
      </c>
      <c r="B146" s="2" t="s">
        <v>256</v>
      </c>
      <c r="C146" s="7" t="s">
        <v>311</v>
      </c>
      <c r="D146" s="2">
        <v>1</v>
      </c>
      <c r="E146" s="2">
        <v>60000</v>
      </c>
      <c r="F146" s="2">
        <f t="shared" si="8"/>
        <v>60000</v>
      </c>
      <c r="G146" s="2" t="str">
        <f t="shared" si="9"/>
        <v>Trung bình</v>
      </c>
      <c r="H146" s="2" t="s">
        <v>9</v>
      </c>
      <c r="I146" s="2" t="s">
        <v>6</v>
      </c>
      <c r="J146" s="4">
        <v>45344</v>
      </c>
    </row>
    <row r="147" spans="1:10" x14ac:dyDescent="0.2">
      <c r="A147" s="2" t="s">
        <v>157</v>
      </c>
      <c r="B147" s="2" t="s">
        <v>283</v>
      </c>
      <c r="C147" s="2" t="s">
        <v>310</v>
      </c>
      <c r="D147" s="2">
        <v>3</v>
      </c>
      <c r="E147" s="2">
        <v>45000</v>
      </c>
      <c r="F147" s="2">
        <f t="shared" si="8"/>
        <v>135000</v>
      </c>
      <c r="G147" s="2" t="str">
        <f t="shared" si="9"/>
        <v>Nhỏ</v>
      </c>
      <c r="H147" s="2" t="s">
        <v>5</v>
      </c>
      <c r="I147" s="2" t="s">
        <v>8</v>
      </c>
      <c r="J147" s="4">
        <v>45345</v>
      </c>
    </row>
    <row r="148" spans="1:10" x14ac:dyDescent="0.2">
      <c r="A148" s="2" t="s">
        <v>158</v>
      </c>
      <c r="B148" s="2" t="s">
        <v>245</v>
      </c>
      <c r="C148" s="2" t="s">
        <v>312</v>
      </c>
      <c r="D148" s="2">
        <v>2</v>
      </c>
      <c r="E148" s="2">
        <v>25000</v>
      </c>
      <c r="F148" s="2">
        <f t="shared" si="8"/>
        <v>50000</v>
      </c>
      <c r="G148" s="2" t="str">
        <f t="shared" si="9"/>
        <v>Nhỏ</v>
      </c>
      <c r="H148" s="2" t="s">
        <v>7</v>
      </c>
      <c r="I148" s="2" t="s">
        <v>10</v>
      </c>
      <c r="J148" s="4">
        <v>45346</v>
      </c>
    </row>
    <row r="149" spans="1:10" x14ac:dyDescent="0.2">
      <c r="A149" s="2" t="s">
        <v>159</v>
      </c>
      <c r="B149" s="2" t="s">
        <v>254</v>
      </c>
      <c r="C149" s="2" t="s">
        <v>313</v>
      </c>
      <c r="D149" s="2">
        <v>1</v>
      </c>
      <c r="E149" s="2">
        <v>55000</v>
      </c>
      <c r="F149" s="2">
        <f t="shared" si="8"/>
        <v>55000</v>
      </c>
      <c r="G149" s="2" t="str">
        <f t="shared" si="9"/>
        <v>Trung bình</v>
      </c>
      <c r="H149" s="2" t="s">
        <v>9</v>
      </c>
      <c r="I149" s="2" t="s">
        <v>11</v>
      </c>
      <c r="J149" s="4">
        <v>45347</v>
      </c>
    </row>
    <row r="150" spans="1:10" x14ac:dyDescent="0.2">
      <c r="A150" s="2" t="s">
        <v>160</v>
      </c>
      <c r="B150" s="2" t="s">
        <v>249</v>
      </c>
      <c r="C150" s="2" t="s">
        <v>310</v>
      </c>
      <c r="D150" s="2">
        <v>2</v>
      </c>
      <c r="E150" s="2">
        <v>55000</v>
      </c>
      <c r="F150" s="2">
        <f t="shared" si="8"/>
        <v>110000</v>
      </c>
      <c r="G150" s="2" t="str">
        <f t="shared" si="9"/>
        <v>Trung bình</v>
      </c>
      <c r="H150" s="2" t="s">
        <v>5</v>
      </c>
      <c r="I150" s="2" t="s">
        <v>6</v>
      </c>
      <c r="J150" s="4">
        <v>45348</v>
      </c>
    </row>
    <row r="151" spans="1:10" x14ac:dyDescent="0.2">
      <c r="A151" s="2" t="s">
        <v>161</v>
      </c>
      <c r="B151" s="2" t="s">
        <v>282</v>
      </c>
      <c r="C151" s="2" t="s">
        <v>312</v>
      </c>
      <c r="D151" s="2">
        <v>3</v>
      </c>
      <c r="E151" s="2">
        <v>45000</v>
      </c>
      <c r="F151" s="2">
        <f t="shared" si="8"/>
        <v>135000</v>
      </c>
      <c r="G151" s="2" t="str">
        <f t="shared" si="9"/>
        <v>Nhỏ</v>
      </c>
      <c r="H151" s="2" t="s">
        <v>7</v>
      </c>
      <c r="I151" s="2" t="s">
        <v>8</v>
      </c>
      <c r="J151" s="4">
        <v>45349</v>
      </c>
    </row>
    <row r="152" spans="1:10" x14ac:dyDescent="0.2">
      <c r="A152" s="2" t="s">
        <v>162</v>
      </c>
      <c r="B152" s="2" t="s">
        <v>214</v>
      </c>
      <c r="C152" s="2" t="s">
        <v>310</v>
      </c>
      <c r="D152" s="2">
        <v>1</v>
      </c>
      <c r="E152" s="2">
        <v>35000</v>
      </c>
      <c r="F152" s="2">
        <f t="shared" si="8"/>
        <v>35000</v>
      </c>
      <c r="G152" s="2" t="str">
        <f t="shared" si="9"/>
        <v>Nhỏ</v>
      </c>
      <c r="H152" s="2" t="s">
        <v>9</v>
      </c>
      <c r="I152" s="2" t="s">
        <v>10</v>
      </c>
      <c r="J152" s="4">
        <v>45350</v>
      </c>
    </row>
    <row r="153" spans="1:10" x14ac:dyDescent="0.2">
      <c r="A153" s="2" t="s">
        <v>163</v>
      </c>
      <c r="B153" s="2" t="s">
        <v>227</v>
      </c>
      <c r="C153" s="2" t="s">
        <v>312</v>
      </c>
      <c r="D153" s="2">
        <v>2</v>
      </c>
      <c r="E153" s="2">
        <v>40000</v>
      </c>
      <c r="F153" s="2">
        <f t="shared" si="8"/>
        <v>80000</v>
      </c>
      <c r="G153" s="2" t="str">
        <f t="shared" si="9"/>
        <v>Nhỏ</v>
      </c>
      <c r="H153" s="2" t="s">
        <v>5</v>
      </c>
      <c r="I153" s="2" t="s">
        <v>11</v>
      </c>
      <c r="J153" s="4">
        <v>45351</v>
      </c>
    </row>
    <row r="154" spans="1:10" x14ac:dyDescent="0.2">
      <c r="A154" s="2" t="s">
        <v>164</v>
      </c>
      <c r="B154" s="2" t="s">
        <v>215</v>
      </c>
      <c r="C154" s="2" t="s">
        <v>311</v>
      </c>
      <c r="D154" s="2">
        <v>3</v>
      </c>
      <c r="E154" s="2">
        <v>55000</v>
      </c>
      <c r="F154" s="2">
        <f t="shared" si="8"/>
        <v>165000</v>
      </c>
      <c r="G154" s="2" t="str">
        <f t="shared" si="9"/>
        <v>Trung bình</v>
      </c>
      <c r="H154" s="2" t="s">
        <v>7</v>
      </c>
      <c r="I154" s="2" t="s">
        <v>6</v>
      </c>
      <c r="J154" s="4">
        <v>45294</v>
      </c>
    </row>
    <row r="155" spans="1:10" x14ac:dyDescent="0.2">
      <c r="A155" s="2" t="s">
        <v>165</v>
      </c>
      <c r="B155" s="2" t="s">
        <v>220</v>
      </c>
      <c r="C155" s="2" t="s">
        <v>310</v>
      </c>
      <c r="D155" s="2">
        <v>4</v>
      </c>
      <c r="E155" s="2">
        <v>29000</v>
      </c>
      <c r="F155" s="2">
        <f t="shared" si="8"/>
        <v>116000</v>
      </c>
      <c r="G155" s="2" t="str">
        <f t="shared" si="9"/>
        <v>Nhỏ</v>
      </c>
      <c r="H155" s="2" t="s">
        <v>9</v>
      </c>
      <c r="I155" s="2" t="s">
        <v>8</v>
      </c>
      <c r="J155" s="4">
        <v>45353</v>
      </c>
    </row>
    <row r="156" spans="1:10" x14ac:dyDescent="0.2">
      <c r="A156" s="2" t="s">
        <v>166</v>
      </c>
      <c r="B156" s="2" t="s">
        <v>284</v>
      </c>
      <c r="C156" s="2" t="s">
        <v>312</v>
      </c>
      <c r="D156" s="2">
        <v>1</v>
      </c>
      <c r="E156" s="2">
        <v>40000</v>
      </c>
      <c r="F156" s="2">
        <f t="shared" si="8"/>
        <v>40000</v>
      </c>
      <c r="G156" s="2" t="str">
        <f t="shared" si="9"/>
        <v>Nhỏ</v>
      </c>
      <c r="H156" s="2" t="s">
        <v>5</v>
      </c>
      <c r="I156" s="2" t="s">
        <v>10</v>
      </c>
      <c r="J156" s="4">
        <v>45354</v>
      </c>
    </row>
    <row r="157" spans="1:10" x14ac:dyDescent="0.2">
      <c r="A157" s="2" t="s">
        <v>167</v>
      </c>
      <c r="B157" s="2" t="s">
        <v>285</v>
      </c>
      <c r="C157" s="2" t="s">
        <v>313</v>
      </c>
      <c r="D157" s="2">
        <v>2</v>
      </c>
      <c r="E157" s="2">
        <v>35000</v>
      </c>
      <c r="F157" s="2">
        <f t="shared" si="8"/>
        <v>70000</v>
      </c>
      <c r="G157" s="2" t="str">
        <f t="shared" si="9"/>
        <v>Nhỏ</v>
      </c>
      <c r="H157" s="2" t="s">
        <v>7</v>
      </c>
      <c r="I157" s="2" t="s">
        <v>11</v>
      </c>
      <c r="J157" s="4">
        <v>45385</v>
      </c>
    </row>
    <row r="158" spans="1:10" x14ac:dyDescent="0.2">
      <c r="A158" s="2" t="s">
        <v>168</v>
      </c>
      <c r="B158" s="2" t="s">
        <v>286</v>
      </c>
      <c r="C158" s="2" t="s">
        <v>310</v>
      </c>
      <c r="D158" s="2">
        <v>5</v>
      </c>
      <c r="E158" s="2">
        <v>25000</v>
      </c>
      <c r="F158" s="2">
        <f t="shared" si="8"/>
        <v>125000</v>
      </c>
      <c r="G158" s="2" t="str">
        <f t="shared" si="9"/>
        <v>Nhỏ</v>
      </c>
      <c r="H158" s="2" t="s">
        <v>9</v>
      </c>
      <c r="I158" s="2" t="s">
        <v>6</v>
      </c>
      <c r="J158" s="4">
        <v>45356</v>
      </c>
    </row>
    <row r="159" spans="1:10" x14ac:dyDescent="0.2">
      <c r="A159" s="2" t="s">
        <v>169</v>
      </c>
      <c r="B159" s="2" t="s">
        <v>287</v>
      </c>
      <c r="C159" s="2" t="s">
        <v>312</v>
      </c>
      <c r="D159" s="2">
        <v>2</v>
      </c>
      <c r="E159" s="2">
        <v>45000</v>
      </c>
      <c r="F159" s="2">
        <f t="shared" si="8"/>
        <v>90000</v>
      </c>
      <c r="G159" s="2" t="str">
        <f t="shared" si="9"/>
        <v>Nhỏ</v>
      </c>
      <c r="H159" s="2" t="s">
        <v>5</v>
      </c>
      <c r="I159" s="2" t="s">
        <v>8</v>
      </c>
      <c r="J159" s="4">
        <v>45446</v>
      </c>
    </row>
    <row r="160" spans="1:10" x14ac:dyDescent="0.2">
      <c r="A160" s="2" t="s">
        <v>170</v>
      </c>
      <c r="B160" s="2" t="s">
        <v>222</v>
      </c>
      <c r="C160" s="2" t="s">
        <v>311</v>
      </c>
      <c r="D160" s="2">
        <v>1</v>
      </c>
      <c r="E160" s="2">
        <v>50000</v>
      </c>
      <c r="F160" s="2">
        <f t="shared" si="8"/>
        <v>50000</v>
      </c>
      <c r="G160" s="2" t="str">
        <f t="shared" si="9"/>
        <v>Trung bình</v>
      </c>
      <c r="H160" s="2" t="s">
        <v>7</v>
      </c>
      <c r="I160" s="2" t="s">
        <v>10</v>
      </c>
      <c r="J160" s="4">
        <v>45476</v>
      </c>
    </row>
    <row r="161" spans="1:10" x14ac:dyDescent="0.2">
      <c r="A161" s="2" t="s">
        <v>171</v>
      </c>
      <c r="B161" s="2" t="s">
        <v>288</v>
      </c>
      <c r="C161" s="2" t="s">
        <v>310</v>
      </c>
      <c r="D161" s="2">
        <v>2</v>
      </c>
      <c r="E161" s="2">
        <v>48000</v>
      </c>
      <c r="F161" s="2">
        <f t="shared" si="8"/>
        <v>96000</v>
      </c>
      <c r="G161" s="2" t="str">
        <f t="shared" si="9"/>
        <v>Nhỏ</v>
      </c>
      <c r="H161" s="2" t="s">
        <v>9</v>
      </c>
      <c r="I161" s="2" t="s">
        <v>11</v>
      </c>
      <c r="J161" s="4">
        <v>45359</v>
      </c>
    </row>
    <row r="162" spans="1:10" x14ac:dyDescent="0.2">
      <c r="A162" s="2" t="s">
        <v>172</v>
      </c>
      <c r="B162" s="2" t="s">
        <v>221</v>
      </c>
      <c r="C162" s="2" t="s">
        <v>312</v>
      </c>
      <c r="D162" s="2">
        <v>3</v>
      </c>
      <c r="E162" s="2">
        <v>42000</v>
      </c>
      <c r="F162" s="2">
        <f t="shared" ref="F162:F193" si="10">(D162)*(E162)</f>
        <v>126000</v>
      </c>
      <c r="G162" s="2" t="str">
        <f t="shared" ref="G162:G193" si="11">IF(E162&gt;=100000,"Lớn",IF(E162&gt;=50000,"Trung bình","Nhỏ"))</f>
        <v>Nhỏ</v>
      </c>
      <c r="H162" s="2" t="s">
        <v>5</v>
      </c>
      <c r="I162" s="2" t="s">
        <v>6</v>
      </c>
      <c r="J162" s="4">
        <v>45538</v>
      </c>
    </row>
    <row r="163" spans="1:10" x14ac:dyDescent="0.2">
      <c r="A163" s="2" t="s">
        <v>173</v>
      </c>
      <c r="B163" s="2" t="s">
        <v>289</v>
      </c>
      <c r="C163" s="2" t="s">
        <v>313</v>
      </c>
      <c r="D163" s="2">
        <v>1</v>
      </c>
      <c r="E163" s="2">
        <v>38000</v>
      </c>
      <c r="F163" s="2">
        <f t="shared" si="10"/>
        <v>38000</v>
      </c>
      <c r="G163" s="2" t="str">
        <f t="shared" si="11"/>
        <v>Nhỏ</v>
      </c>
      <c r="H163" s="2" t="s">
        <v>7</v>
      </c>
      <c r="I163" s="2" t="s">
        <v>8</v>
      </c>
      <c r="J163" s="4">
        <v>45568</v>
      </c>
    </row>
    <row r="164" spans="1:10" x14ac:dyDescent="0.2">
      <c r="A164" s="2" t="s">
        <v>174</v>
      </c>
      <c r="B164" s="2" t="s">
        <v>290</v>
      </c>
      <c r="C164" s="2" t="s">
        <v>310</v>
      </c>
      <c r="D164" s="2">
        <v>2</v>
      </c>
      <c r="E164" s="2">
        <v>45000</v>
      </c>
      <c r="F164" s="2">
        <f t="shared" si="10"/>
        <v>90000</v>
      </c>
      <c r="G164" s="2" t="str">
        <f t="shared" si="11"/>
        <v>Nhỏ</v>
      </c>
      <c r="H164" s="2" t="s">
        <v>9</v>
      </c>
      <c r="I164" s="2" t="s">
        <v>10</v>
      </c>
      <c r="J164" s="4">
        <v>45362</v>
      </c>
    </row>
    <row r="165" spans="1:10" x14ac:dyDescent="0.2">
      <c r="A165" s="2" t="s">
        <v>175</v>
      </c>
      <c r="B165" s="2" t="s">
        <v>267</v>
      </c>
      <c r="C165" s="2" t="s">
        <v>312</v>
      </c>
      <c r="D165" s="2">
        <v>4</v>
      </c>
      <c r="E165" s="2">
        <v>40000</v>
      </c>
      <c r="F165" s="2">
        <f t="shared" si="10"/>
        <v>160000</v>
      </c>
      <c r="G165" s="2" t="str">
        <f t="shared" si="11"/>
        <v>Nhỏ</v>
      </c>
      <c r="H165" s="2" t="s">
        <v>5</v>
      </c>
      <c r="I165" s="2" t="s">
        <v>11</v>
      </c>
      <c r="J165" s="4">
        <v>45629</v>
      </c>
    </row>
    <row r="166" spans="1:10" x14ac:dyDescent="0.2">
      <c r="A166" s="2" t="s">
        <v>176</v>
      </c>
      <c r="B166" s="2" t="s">
        <v>291</v>
      </c>
      <c r="C166" s="2" t="s">
        <v>311</v>
      </c>
      <c r="D166" s="2">
        <v>2</v>
      </c>
      <c r="E166" s="2">
        <v>55000</v>
      </c>
      <c r="F166" s="2">
        <f t="shared" si="10"/>
        <v>110000</v>
      </c>
      <c r="G166" s="2" t="str">
        <f t="shared" si="11"/>
        <v>Trung bình</v>
      </c>
      <c r="H166" s="2" t="s">
        <v>7</v>
      </c>
      <c r="I166" s="2" t="s">
        <v>6</v>
      </c>
      <c r="J166" s="4">
        <v>45364</v>
      </c>
    </row>
    <row r="167" spans="1:10" x14ac:dyDescent="0.2">
      <c r="A167" s="2" t="s">
        <v>177</v>
      </c>
      <c r="B167" s="2" t="s">
        <v>235</v>
      </c>
      <c r="C167" s="2" t="s">
        <v>313</v>
      </c>
      <c r="D167" s="2">
        <v>3</v>
      </c>
      <c r="E167" s="2">
        <v>35000</v>
      </c>
      <c r="F167" s="2">
        <f t="shared" si="10"/>
        <v>105000</v>
      </c>
      <c r="G167" s="2" t="str">
        <f t="shared" si="11"/>
        <v>Nhỏ</v>
      </c>
      <c r="H167" s="2" t="s">
        <v>9</v>
      </c>
      <c r="I167" s="2" t="s">
        <v>8</v>
      </c>
      <c r="J167" s="4">
        <v>45365</v>
      </c>
    </row>
    <row r="168" spans="1:10" x14ac:dyDescent="0.2">
      <c r="A168" s="2" t="s">
        <v>178</v>
      </c>
      <c r="B168" s="2" t="s">
        <v>242</v>
      </c>
      <c r="C168" s="2" t="s">
        <v>310</v>
      </c>
      <c r="D168" s="2">
        <v>1</v>
      </c>
      <c r="E168" s="2">
        <v>45000</v>
      </c>
      <c r="F168" s="2">
        <f t="shared" si="10"/>
        <v>45000</v>
      </c>
      <c r="G168" s="2" t="str">
        <f t="shared" si="11"/>
        <v>Nhỏ</v>
      </c>
      <c r="H168" s="2" t="s">
        <v>5</v>
      </c>
      <c r="I168" s="2" t="s">
        <v>10</v>
      </c>
      <c r="J168" s="4">
        <v>45366</v>
      </c>
    </row>
    <row r="169" spans="1:10" x14ac:dyDescent="0.2">
      <c r="A169" s="2" t="s">
        <v>179</v>
      </c>
      <c r="B169" s="2" t="s">
        <v>271</v>
      </c>
      <c r="C169" s="2" t="s">
        <v>312</v>
      </c>
      <c r="D169" s="2">
        <v>2</v>
      </c>
      <c r="E169" s="2">
        <v>45000</v>
      </c>
      <c r="F169" s="2">
        <f t="shared" si="10"/>
        <v>90000</v>
      </c>
      <c r="G169" s="2" t="str">
        <f t="shared" si="11"/>
        <v>Nhỏ</v>
      </c>
      <c r="H169" s="2" t="s">
        <v>7</v>
      </c>
      <c r="I169" s="2" t="s">
        <v>11</v>
      </c>
      <c r="J169" s="4">
        <v>45367</v>
      </c>
    </row>
    <row r="170" spans="1:10" x14ac:dyDescent="0.2">
      <c r="A170" s="2" t="s">
        <v>180</v>
      </c>
      <c r="B170" s="2" t="s">
        <v>292</v>
      </c>
      <c r="C170" s="2" t="s">
        <v>313</v>
      </c>
      <c r="D170" s="2">
        <v>4</v>
      </c>
      <c r="E170" s="2">
        <v>30000</v>
      </c>
      <c r="F170" s="2">
        <f t="shared" si="10"/>
        <v>120000</v>
      </c>
      <c r="G170" s="2" t="str">
        <f t="shared" si="11"/>
        <v>Nhỏ</v>
      </c>
      <c r="H170" s="2" t="s">
        <v>9</v>
      </c>
      <c r="I170" s="2" t="s">
        <v>6</v>
      </c>
      <c r="J170" s="4">
        <v>45368</v>
      </c>
    </row>
    <row r="171" spans="1:10" x14ac:dyDescent="0.2">
      <c r="A171" s="2" t="s">
        <v>181</v>
      </c>
      <c r="B171" s="2" t="s">
        <v>253</v>
      </c>
      <c r="C171" s="2" t="s">
        <v>310</v>
      </c>
      <c r="D171" s="2">
        <v>2</v>
      </c>
      <c r="E171" s="2">
        <v>40000</v>
      </c>
      <c r="F171" s="2">
        <f t="shared" si="10"/>
        <v>80000</v>
      </c>
      <c r="G171" s="2" t="str">
        <f t="shared" si="11"/>
        <v>Nhỏ</v>
      </c>
      <c r="H171" s="2" t="s">
        <v>5</v>
      </c>
      <c r="I171" s="2" t="s">
        <v>8</v>
      </c>
      <c r="J171" s="4">
        <v>45369</v>
      </c>
    </row>
    <row r="172" spans="1:10" x14ac:dyDescent="0.2">
      <c r="A172" s="2" t="s">
        <v>182</v>
      </c>
      <c r="B172" s="2" t="s">
        <v>247</v>
      </c>
      <c r="C172" s="2" t="s">
        <v>312</v>
      </c>
      <c r="D172" s="2">
        <v>1</v>
      </c>
      <c r="E172" s="2">
        <v>38000</v>
      </c>
      <c r="F172" s="2">
        <f t="shared" si="10"/>
        <v>38000</v>
      </c>
      <c r="G172" s="2" t="str">
        <f t="shared" si="11"/>
        <v>Nhỏ</v>
      </c>
      <c r="H172" s="2" t="s">
        <v>7</v>
      </c>
      <c r="I172" s="2" t="s">
        <v>10</v>
      </c>
      <c r="J172" s="4">
        <v>45370</v>
      </c>
    </row>
    <row r="173" spans="1:10" x14ac:dyDescent="0.2">
      <c r="A173" s="2" t="s">
        <v>183</v>
      </c>
      <c r="B173" s="2" t="s">
        <v>274</v>
      </c>
      <c r="C173" s="2" t="s">
        <v>311</v>
      </c>
      <c r="D173" s="2">
        <v>3</v>
      </c>
      <c r="E173" s="2">
        <v>50000</v>
      </c>
      <c r="F173" s="2">
        <f t="shared" si="10"/>
        <v>150000</v>
      </c>
      <c r="G173" s="2" t="str">
        <f t="shared" si="11"/>
        <v>Trung bình</v>
      </c>
      <c r="H173" s="2" t="s">
        <v>9</v>
      </c>
      <c r="I173" s="2" t="s">
        <v>11</v>
      </c>
      <c r="J173" s="4">
        <v>45371</v>
      </c>
    </row>
    <row r="174" spans="1:10" x14ac:dyDescent="0.2">
      <c r="A174" s="2" t="s">
        <v>184</v>
      </c>
      <c r="B174" s="2" t="s">
        <v>236</v>
      </c>
      <c r="C174" s="2" t="s">
        <v>310</v>
      </c>
      <c r="D174" s="2">
        <v>5</v>
      </c>
      <c r="E174" s="2">
        <v>30000</v>
      </c>
      <c r="F174" s="2">
        <f t="shared" si="10"/>
        <v>150000</v>
      </c>
      <c r="G174" s="2" t="str">
        <f t="shared" si="11"/>
        <v>Nhỏ</v>
      </c>
      <c r="H174" s="2" t="s">
        <v>5</v>
      </c>
      <c r="I174" s="2" t="s">
        <v>6</v>
      </c>
      <c r="J174" s="4">
        <v>45372</v>
      </c>
    </row>
    <row r="175" spans="1:10" x14ac:dyDescent="0.2">
      <c r="A175" s="2" t="s">
        <v>185</v>
      </c>
      <c r="B175" s="2" t="s">
        <v>251</v>
      </c>
      <c r="C175" s="2" t="s">
        <v>312</v>
      </c>
      <c r="D175" s="2">
        <v>2</v>
      </c>
      <c r="E175" s="2">
        <v>35000</v>
      </c>
      <c r="F175" s="2">
        <f t="shared" si="10"/>
        <v>70000</v>
      </c>
      <c r="G175" s="2" t="str">
        <f t="shared" si="11"/>
        <v>Nhỏ</v>
      </c>
      <c r="H175" s="2" t="s">
        <v>7</v>
      </c>
      <c r="I175" s="2" t="s">
        <v>8</v>
      </c>
      <c r="J175" s="4">
        <v>45373</v>
      </c>
    </row>
    <row r="176" spans="1:10" x14ac:dyDescent="0.2">
      <c r="A176" s="2" t="s">
        <v>186</v>
      </c>
      <c r="B176" s="2" t="s">
        <v>293</v>
      </c>
      <c r="C176" s="2" t="s">
        <v>313</v>
      </c>
      <c r="D176" s="2">
        <v>4</v>
      </c>
      <c r="E176" s="2">
        <v>30000</v>
      </c>
      <c r="F176" s="2">
        <f t="shared" si="10"/>
        <v>120000</v>
      </c>
      <c r="G176" s="2" t="str">
        <f t="shared" si="11"/>
        <v>Nhỏ</v>
      </c>
      <c r="H176" s="2" t="s">
        <v>9</v>
      </c>
      <c r="I176" s="2" t="s">
        <v>10</v>
      </c>
      <c r="J176" s="4">
        <v>45374</v>
      </c>
    </row>
    <row r="177" spans="1:10" x14ac:dyDescent="0.2">
      <c r="A177" s="2" t="s">
        <v>187</v>
      </c>
      <c r="B177" s="2" t="s">
        <v>269</v>
      </c>
      <c r="C177" s="2" t="s">
        <v>311</v>
      </c>
      <c r="D177" s="2">
        <v>1</v>
      </c>
      <c r="E177" s="2">
        <v>55000</v>
      </c>
      <c r="F177" s="2">
        <f t="shared" si="10"/>
        <v>55000</v>
      </c>
      <c r="G177" s="2" t="str">
        <f t="shared" si="11"/>
        <v>Trung bình</v>
      </c>
      <c r="H177" s="2" t="s">
        <v>5</v>
      </c>
      <c r="I177" s="2" t="s">
        <v>11</v>
      </c>
      <c r="J177" s="4">
        <v>45375</v>
      </c>
    </row>
    <row r="178" spans="1:10" x14ac:dyDescent="0.2">
      <c r="A178" s="2" t="s">
        <v>188</v>
      </c>
      <c r="B178" s="2" t="s">
        <v>263</v>
      </c>
      <c r="C178" s="2" t="s">
        <v>310</v>
      </c>
      <c r="D178" s="2">
        <v>2</v>
      </c>
      <c r="E178" s="2">
        <v>45000</v>
      </c>
      <c r="F178" s="2">
        <f t="shared" si="10"/>
        <v>90000</v>
      </c>
      <c r="G178" s="2" t="str">
        <f t="shared" si="11"/>
        <v>Nhỏ</v>
      </c>
      <c r="H178" s="2" t="s">
        <v>7</v>
      </c>
      <c r="I178" s="2" t="s">
        <v>6</v>
      </c>
      <c r="J178" s="4">
        <v>45376</v>
      </c>
    </row>
    <row r="179" spans="1:10" x14ac:dyDescent="0.2">
      <c r="A179" s="2" t="s">
        <v>189</v>
      </c>
      <c r="B179" s="2" t="s">
        <v>294</v>
      </c>
      <c r="C179" s="2" t="s">
        <v>312</v>
      </c>
      <c r="D179" s="2">
        <v>3</v>
      </c>
      <c r="E179" s="2">
        <v>30000</v>
      </c>
      <c r="F179" s="2">
        <f t="shared" si="10"/>
        <v>90000</v>
      </c>
      <c r="G179" s="2" t="str">
        <f t="shared" si="11"/>
        <v>Nhỏ</v>
      </c>
      <c r="H179" s="2" t="s">
        <v>9</v>
      </c>
      <c r="I179" s="2" t="s">
        <v>8</v>
      </c>
      <c r="J179" s="4">
        <v>45377</v>
      </c>
    </row>
    <row r="180" spans="1:10" x14ac:dyDescent="0.2">
      <c r="A180" s="2" t="s">
        <v>190</v>
      </c>
      <c r="B180" s="2" t="s">
        <v>243</v>
      </c>
      <c r="C180" s="2" t="s">
        <v>313</v>
      </c>
      <c r="D180" s="2">
        <v>2</v>
      </c>
      <c r="E180" s="2">
        <v>35000</v>
      </c>
      <c r="F180" s="2">
        <f t="shared" si="10"/>
        <v>70000</v>
      </c>
      <c r="G180" s="2" t="str">
        <f t="shared" si="11"/>
        <v>Nhỏ</v>
      </c>
      <c r="H180" s="2" t="s">
        <v>5</v>
      </c>
      <c r="I180" s="2" t="s">
        <v>10</v>
      </c>
      <c r="J180" s="4">
        <v>45378</v>
      </c>
    </row>
    <row r="181" spans="1:10" x14ac:dyDescent="0.2">
      <c r="A181" s="2" t="s">
        <v>191</v>
      </c>
      <c r="B181" s="2" t="s">
        <v>266</v>
      </c>
      <c r="C181" s="2" t="s">
        <v>310</v>
      </c>
      <c r="D181" s="2">
        <v>1</v>
      </c>
      <c r="E181" s="2">
        <v>55000</v>
      </c>
      <c r="F181" s="2">
        <f t="shared" si="10"/>
        <v>55000</v>
      </c>
      <c r="G181" s="2" t="str">
        <f t="shared" si="11"/>
        <v>Trung bình</v>
      </c>
      <c r="H181" s="2" t="s">
        <v>7</v>
      </c>
      <c r="I181" s="2" t="s">
        <v>11</v>
      </c>
      <c r="J181" s="4">
        <v>45379</v>
      </c>
    </row>
    <row r="182" spans="1:10" x14ac:dyDescent="0.2">
      <c r="A182" s="2" t="s">
        <v>192</v>
      </c>
      <c r="B182" s="2" t="s">
        <v>295</v>
      </c>
      <c r="C182" s="2" t="s">
        <v>312</v>
      </c>
      <c r="D182" s="2">
        <v>4</v>
      </c>
      <c r="E182" s="2">
        <v>45000</v>
      </c>
      <c r="F182" s="2">
        <f t="shared" si="10"/>
        <v>180000</v>
      </c>
      <c r="G182" s="2" t="str">
        <f t="shared" si="11"/>
        <v>Nhỏ</v>
      </c>
      <c r="H182" s="2" t="s">
        <v>9</v>
      </c>
      <c r="I182" s="2" t="s">
        <v>6</v>
      </c>
      <c r="J182" s="4">
        <v>45380</v>
      </c>
    </row>
    <row r="183" spans="1:10" x14ac:dyDescent="0.2">
      <c r="A183" s="2" t="s">
        <v>193</v>
      </c>
      <c r="B183" s="2" t="s">
        <v>232</v>
      </c>
      <c r="C183" s="2" t="s">
        <v>311</v>
      </c>
      <c r="D183" s="2">
        <v>2</v>
      </c>
      <c r="E183" s="2">
        <v>50000</v>
      </c>
      <c r="F183" s="2">
        <f t="shared" si="10"/>
        <v>100000</v>
      </c>
      <c r="G183" s="2" t="str">
        <f t="shared" si="11"/>
        <v>Trung bình</v>
      </c>
      <c r="H183" s="2" t="s">
        <v>5</v>
      </c>
      <c r="I183" s="2" t="s">
        <v>8</v>
      </c>
      <c r="J183" s="4">
        <v>45381</v>
      </c>
    </row>
    <row r="184" spans="1:10" x14ac:dyDescent="0.2">
      <c r="A184" s="2" t="s">
        <v>194</v>
      </c>
      <c r="B184" s="2" t="s">
        <v>296</v>
      </c>
      <c r="C184" s="2" t="s">
        <v>310</v>
      </c>
      <c r="D184" s="2">
        <v>3</v>
      </c>
      <c r="E184" s="2">
        <v>35000</v>
      </c>
      <c r="F184" s="2">
        <f t="shared" si="10"/>
        <v>105000</v>
      </c>
      <c r="G184" s="2" t="str">
        <f t="shared" si="11"/>
        <v>Nhỏ</v>
      </c>
      <c r="H184" s="2" t="s">
        <v>7</v>
      </c>
      <c r="I184" s="2" t="s">
        <v>10</v>
      </c>
      <c r="J184" s="4">
        <v>45382</v>
      </c>
    </row>
    <row r="185" spans="1:10" x14ac:dyDescent="0.2">
      <c r="A185" s="2" t="s">
        <v>195</v>
      </c>
      <c r="B185" s="2" t="s">
        <v>276</v>
      </c>
      <c r="C185" s="2" t="s">
        <v>312</v>
      </c>
      <c r="D185" s="2">
        <v>1</v>
      </c>
      <c r="E185" s="2">
        <v>55000</v>
      </c>
      <c r="F185" s="2">
        <f t="shared" si="10"/>
        <v>55000</v>
      </c>
      <c r="G185" s="2" t="str">
        <f t="shared" si="11"/>
        <v>Trung bình</v>
      </c>
      <c r="H185" s="2" t="s">
        <v>9</v>
      </c>
      <c r="I185" s="2" t="s">
        <v>11</v>
      </c>
      <c r="J185" s="4">
        <v>45383</v>
      </c>
    </row>
    <row r="186" spans="1:10" x14ac:dyDescent="0.2">
      <c r="A186" s="2" t="s">
        <v>196</v>
      </c>
      <c r="B186" s="2" t="s">
        <v>297</v>
      </c>
      <c r="C186" s="2" t="s">
        <v>313</v>
      </c>
      <c r="D186" s="2">
        <v>5</v>
      </c>
      <c r="E186" s="2">
        <v>40000</v>
      </c>
      <c r="F186" s="2">
        <f t="shared" si="10"/>
        <v>200000</v>
      </c>
      <c r="G186" s="2" t="str">
        <f t="shared" si="11"/>
        <v>Nhỏ</v>
      </c>
      <c r="H186" s="2" t="s">
        <v>5</v>
      </c>
      <c r="I186" s="2" t="s">
        <v>6</v>
      </c>
      <c r="J186" s="4">
        <v>45326</v>
      </c>
    </row>
    <row r="187" spans="1:10" x14ac:dyDescent="0.2">
      <c r="A187" s="2" t="s">
        <v>197</v>
      </c>
      <c r="B187" s="2" t="s">
        <v>298</v>
      </c>
      <c r="C187" s="2" t="s">
        <v>310</v>
      </c>
      <c r="D187" s="2">
        <v>2</v>
      </c>
      <c r="E187" s="2">
        <v>32000</v>
      </c>
      <c r="F187" s="2">
        <f t="shared" si="10"/>
        <v>64000</v>
      </c>
      <c r="G187" s="2" t="str">
        <f t="shared" si="11"/>
        <v>Nhỏ</v>
      </c>
      <c r="H187" s="2" t="s">
        <v>7</v>
      </c>
      <c r="I187" s="2" t="s">
        <v>8</v>
      </c>
      <c r="J187" s="4">
        <v>45355</v>
      </c>
    </row>
    <row r="188" spans="1:10" x14ac:dyDescent="0.2">
      <c r="A188" s="2" t="s">
        <v>198</v>
      </c>
      <c r="B188" s="2" t="s">
        <v>299</v>
      </c>
      <c r="C188" s="2" t="s">
        <v>312</v>
      </c>
      <c r="D188" s="2">
        <v>1</v>
      </c>
      <c r="E188" s="2">
        <v>30000</v>
      </c>
      <c r="F188" s="2">
        <f t="shared" si="10"/>
        <v>30000</v>
      </c>
      <c r="G188" s="2" t="str">
        <f t="shared" si="11"/>
        <v>Nhỏ</v>
      </c>
      <c r="H188" s="2" t="s">
        <v>9</v>
      </c>
      <c r="I188" s="2" t="s">
        <v>10</v>
      </c>
      <c r="J188" s="4">
        <v>45386</v>
      </c>
    </row>
    <row r="189" spans="1:10" x14ac:dyDescent="0.2">
      <c r="A189" s="2" t="s">
        <v>199</v>
      </c>
      <c r="B189" s="2" t="s">
        <v>277</v>
      </c>
      <c r="C189" s="2" t="s">
        <v>311</v>
      </c>
      <c r="D189" s="2">
        <v>3</v>
      </c>
      <c r="E189" s="2">
        <v>40000</v>
      </c>
      <c r="F189" s="2">
        <f t="shared" si="10"/>
        <v>120000</v>
      </c>
      <c r="G189" s="2" t="str">
        <f t="shared" si="11"/>
        <v>Nhỏ</v>
      </c>
      <c r="H189" s="2" t="s">
        <v>5</v>
      </c>
      <c r="I189" s="2" t="s">
        <v>11</v>
      </c>
      <c r="J189" s="4">
        <v>45416</v>
      </c>
    </row>
    <row r="190" spans="1:10" x14ac:dyDescent="0.2">
      <c r="A190" s="2" t="s">
        <v>200</v>
      </c>
      <c r="B190" s="2" t="s">
        <v>300</v>
      </c>
      <c r="C190" s="2" t="s">
        <v>310</v>
      </c>
      <c r="D190" s="2">
        <v>4</v>
      </c>
      <c r="E190" s="2">
        <v>35000</v>
      </c>
      <c r="F190" s="2">
        <f t="shared" si="10"/>
        <v>140000</v>
      </c>
      <c r="G190" s="2" t="str">
        <f t="shared" si="11"/>
        <v>Nhỏ</v>
      </c>
      <c r="H190" s="2" t="s">
        <v>7</v>
      </c>
      <c r="I190" s="2" t="s">
        <v>6</v>
      </c>
      <c r="J190" s="4">
        <v>45447</v>
      </c>
    </row>
    <row r="191" spans="1:10" x14ac:dyDescent="0.2">
      <c r="A191" s="2" t="s">
        <v>201</v>
      </c>
      <c r="B191" s="2" t="s">
        <v>237</v>
      </c>
      <c r="C191" s="2" t="s">
        <v>312</v>
      </c>
      <c r="D191" s="2">
        <v>2</v>
      </c>
      <c r="E191" s="2">
        <v>45000</v>
      </c>
      <c r="F191" s="2">
        <f t="shared" si="10"/>
        <v>90000</v>
      </c>
      <c r="G191" s="2" t="str">
        <f t="shared" si="11"/>
        <v>Nhỏ</v>
      </c>
      <c r="H191" s="2" t="s">
        <v>9</v>
      </c>
      <c r="I191" s="2" t="s">
        <v>8</v>
      </c>
      <c r="J191" s="4">
        <v>45389</v>
      </c>
    </row>
    <row r="192" spans="1:10" x14ac:dyDescent="0.2">
      <c r="A192" s="2" t="s">
        <v>202</v>
      </c>
      <c r="B192" s="2" t="s">
        <v>301</v>
      </c>
      <c r="C192" s="2" t="s">
        <v>313</v>
      </c>
      <c r="D192" s="2">
        <v>1</v>
      </c>
      <c r="E192" s="2">
        <v>30000</v>
      </c>
      <c r="F192" s="2">
        <f t="shared" si="10"/>
        <v>30000</v>
      </c>
      <c r="G192" s="2" t="str">
        <f t="shared" si="11"/>
        <v>Nhỏ</v>
      </c>
      <c r="H192" s="2" t="s">
        <v>5</v>
      </c>
      <c r="I192" s="2" t="s">
        <v>10</v>
      </c>
      <c r="J192" s="4">
        <v>45508</v>
      </c>
    </row>
    <row r="193" spans="1:10" x14ac:dyDescent="0.2">
      <c r="A193" s="2" t="s">
        <v>203</v>
      </c>
      <c r="B193" s="2" t="s">
        <v>302</v>
      </c>
      <c r="C193" s="2" t="s">
        <v>310</v>
      </c>
      <c r="D193" s="2">
        <v>2</v>
      </c>
      <c r="E193" s="2">
        <v>55000</v>
      </c>
      <c r="F193" s="2">
        <f t="shared" si="10"/>
        <v>110000</v>
      </c>
      <c r="G193" s="2" t="str">
        <f t="shared" si="11"/>
        <v>Trung bình</v>
      </c>
      <c r="H193" s="2" t="s">
        <v>7</v>
      </c>
      <c r="I193" s="2" t="s">
        <v>11</v>
      </c>
      <c r="J193" s="4">
        <v>45539</v>
      </c>
    </row>
    <row r="194" spans="1:10" x14ac:dyDescent="0.2">
      <c r="A194" s="2" t="s">
        <v>204</v>
      </c>
      <c r="B194" s="2" t="s">
        <v>303</v>
      </c>
      <c r="C194" s="2" t="s">
        <v>312</v>
      </c>
      <c r="D194" s="2">
        <v>3</v>
      </c>
      <c r="E194" s="2">
        <v>35000</v>
      </c>
      <c r="F194" s="2">
        <f t="shared" ref="F194:F201" si="12">(D194)*(E194)</f>
        <v>105000</v>
      </c>
      <c r="G194" s="2" t="str">
        <f t="shared" ref="G194:G201" si="13">IF(E194&gt;=100000,"Lớn",IF(E194&gt;=50000,"Trung bình","Nhỏ"))</f>
        <v>Nhỏ</v>
      </c>
      <c r="H194" s="2" t="s">
        <v>9</v>
      </c>
      <c r="I194" s="2" t="s">
        <v>6</v>
      </c>
      <c r="J194" s="4">
        <v>45392</v>
      </c>
    </row>
    <row r="195" spans="1:10" x14ac:dyDescent="0.2">
      <c r="A195" s="2" t="s">
        <v>205</v>
      </c>
      <c r="B195" s="2" t="s">
        <v>256</v>
      </c>
      <c r="C195" s="2" t="s">
        <v>311</v>
      </c>
      <c r="D195" s="2">
        <v>1</v>
      </c>
      <c r="E195" s="2">
        <v>60000</v>
      </c>
      <c r="F195" s="2">
        <f t="shared" si="12"/>
        <v>60000</v>
      </c>
      <c r="G195" s="2" t="str">
        <f t="shared" si="13"/>
        <v>Trung bình</v>
      </c>
      <c r="H195" s="2" t="s">
        <v>5</v>
      </c>
      <c r="I195" s="2" t="s">
        <v>8</v>
      </c>
      <c r="J195" s="4">
        <v>45600</v>
      </c>
    </row>
    <row r="196" spans="1:10" x14ac:dyDescent="0.2">
      <c r="A196" s="2" t="s">
        <v>206</v>
      </c>
      <c r="B196" s="2" t="s">
        <v>304</v>
      </c>
      <c r="C196" s="2" t="s">
        <v>312</v>
      </c>
      <c r="D196" s="2">
        <v>2</v>
      </c>
      <c r="E196" s="2">
        <v>48000</v>
      </c>
      <c r="F196" s="2">
        <f t="shared" si="12"/>
        <v>96000</v>
      </c>
      <c r="G196" s="2" t="str">
        <f t="shared" si="13"/>
        <v>Nhỏ</v>
      </c>
      <c r="H196" s="2" t="s">
        <v>7</v>
      </c>
      <c r="I196" s="2" t="s">
        <v>10</v>
      </c>
      <c r="J196" s="4">
        <v>45630</v>
      </c>
    </row>
    <row r="197" spans="1:10" x14ac:dyDescent="0.2">
      <c r="A197" s="2" t="s">
        <v>207</v>
      </c>
      <c r="B197" s="2" t="s">
        <v>305</v>
      </c>
      <c r="C197" s="2" t="s">
        <v>312</v>
      </c>
      <c r="D197" s="2">
        <v>4</v>
      </c>
      <c r="E197" s="2">
        <v>20000</v>
      </c>
      <c r="F197" s="2">
        <f t="shared" si="12"/>
        <v>80000</v>
      </c>
      <c r="G197" s="2" t="str">
        <f t="shared" si="13"/>
        <v>Nhỏ</v>
      </c>
      <c r="H197" s="2" t="s">
        <v>9</v>
      </c>
      <c r="I197" s="2" t="s">
        <v>11</v>
      </c>
      <c r="J197" s="4">
        <v>45395</v>
      </c>
    </row>
    <row r="198" spans="1:10" x14ac:dyDescent="0.2">
      <c r="A198" s="2" t="s">
        <v>208</v>
      </c>
      <c r="B198" s="2" t="s">
        <v>306</v>
      </c>
      <c r="C198" s="2" t="s">
        <v>313</v>
      </c>
      <c r="D198" s="2">
        <v>1</v>
      </c>
      <c r="E198" s="2">
        <v>55000</v>
      </c>
      <c r="F198" s="2">
        <f t="shared" si="12"/>
        <v>55000</v>
      </c>
      <c r="G198" s="2" t="str">
        <f t="shared" si="13"/>
        <v>Trung bình</v>
      </c>
      <c r="H198" s="2" t="s">
        <v>5</v>
      </c>
      <c r="I198" s="2" t="s">
        <v>6</v>
      </c>
      <c r="J198" s="4">
        <v>45396</v>
      </c>
    </row>
    <row r="199" spans="1:10" x14ac:dyDescent="0.2">
      <c r="A199" s="2" t="s">
        <v>209</v>
      </c>
      <c r="B199" s="2" t="s">
        <v>307</v>
      </c>
      <c r="C199" s="2" t="s">
        <v>310</v>
      </c>
      <c r="D199" s="2">
        <v>2</v>
      </c>
      <c r="E199" s="2">
        <v>55000</v>
      </c>
      <c r="F199" s="2">
        <f t="shared" si="12"/>
        <v>110000</v>
      </c>
      <c r="G199" s="2" t="str">
        <f t="shared" si="13"/>
        <v>Trung bình</v>
      </c>
      <c r="H199" s="2" t="s">
        <v>7</v>
      </c>
      <c r="I199" s="2" t="s">
        <v>8</v>
      </c>
      <c r="J199" s="4">
        <v>45397</v>
      </c>
    </row>
    <row r="200" spans="1:10" x14ac:dyDescent="0.2">
      <c r="A200" s="2" t="s">
        <v>210</v>
      </c>
      <c r="B200" s="2" t="s">
        <v>282</v>
      </c>
      <c r="C200" s="2" t="s">
        <v>312</v>
      </c>
      <c r="D200" s="2">
        <v>3</v>
      </c>
      <c r="E200" s="2">
        <v>45000</v>
      </c>
      <c r="F200" s="2">
        <f t="shared" si="12"/>
        <v>135000</v>
      </c>
      <c r="G200" s="2" t="str">
        <f t="shared" si="13"/>
        <v>Nhỏ</v>
      </c>
      <c r="H200" s="2" t="s">
        <v>9</v>
      </c>
      <c r="I200" s="2" t="s">
        <v>10</v>
      </c>
      <c r="J200" s="4">
        <v>45398</v>
      </c>
    </row>
    <row r="201" spans="1:10" x14ac:dyDescent="0.2">
      <c r="A201" s="2" t="s">
        <v>211</v>
      </c>
      <c r="B201" s="2" t="s">
        <v>308</v>
      </c>
      <c r="C201" s="2" t="s">
        <v>311</v>
      </c>
      <c r="D201" s="2">
        <v>1</v>
      </c>
      <c r="E201" s="2">
        <v>52000</v>
      </c>
      <c r="F201" s="2">
        <f t="shared" si="12"/>
        <v>52000</v>
      </c>
      <c r="G201" s="2" t="str">
        <f t="shared" si="13"/>
        <v>Trung bình</v>
      </c>
      <c r="H201" s="2" t="s">
        <v>5</v>
      </c>
      <c r="I201" s="2" t="s">
        <v>11</v>
      </c>
      <c r="J201" s="4">
        <v>45399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cp:lastModifiedBy>
  <dcterms:modified xsi:type="dcterms:W3CDTF">2026-01-23T02:16:59Z</dcterms:modified>
</cp:coreProperties>
</file>