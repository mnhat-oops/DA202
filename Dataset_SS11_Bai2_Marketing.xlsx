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btth\b11\"/>
    </mc:Choice>
  </mc:AlternateContent>
  <xr:revisionPtr revIDLastSave="0" documentId="13_ncr:1_{81173F1C-C6D1-4B5B-AFEF-86615C0898B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2" r:id="rId1"/>
    <sheet name="Dataset_SS11_Bai2_Marketing" sheetId="1" r:id="rId2"/>
  </sheets>
  <calcPr calcId="191029"/>
  <pivotCaches>
    <pivotCache cacheId="42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lieuV2oGzA46ttbKjsVcapIcZu6SivszdiC0/pCiJaA=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2" i="1"/>
</calcChain>
</file>

<file path=xl/sharedStrings.xml><?xml version="1.0" encoding="utf-8"?>
<sst xmlns="http://schemas.openxmlformats.org/spreadsheetml/2006/main" count="1563" uniqueCount="373">
  <si>
    <t>Ad_Cost</t>
  </si>
  <si>
    <t>Revenue</t>
  </si>
  <si>
    <t>Status</t>
  </si>
  <si>
    <t>Ngay_Dat</t>
  </si>
  <si>
    <t>Hủy</t>
  </si>
  <si>
    <t>Thành công</t>
  </si>
  <si>
    <t>Thành Công</t>
  </si>
  <si>
    <t xml:space="preserve">ORD_0215 </t>
  </si>
  <si>
    <t xml:space="preserve"> Serum Vitamin C </t>
  </si>
  <si>
    <t xml:space="preserve">ORD_0280 </t>
  </si>
  <si>
    <t xml:space="preserve"> Sữa rửa mặt </t>
  </si>
  <si>
    <t xml:space="preserve">ORD_0285 </t>
  </si>
  <si>
    <t xml:space="preserve">ORD_0302 </t>
  </si>
  <si>
    <t xml:space="preserve"> Tinh chất retinol </t>
  </si>
  <si>
    <t xml:space="preserve">ORD_0117 </t>
  </si>
  <si>
    <t xml:space="preserve">ORD_0164 </t>
  </si>
  <si>
    <t xml:space="preserve"> Toner </t>
  </si>
  <si>
    <t xml:space="preserve">ORD_0150 </t>
  </si>
  <si>
    <t xml:space="preserve">ORD_0057 </t>
  </si>
  <si>
    <t xml:space="preserve">ORD_0212 </t>
  </si>
  <si>
    <t xml:space="preserve"> Xịt khoáng </t>
  </si>
  <si>
    <t xml:space="preserve">ORD_0121 </t>
  </si>
  <si>
    <t xml:space="preserve"> Son dưỡng </t>
  </si>
  <si>
    <t xml:space="preserve">ORD_0051 </t>
  </si>
  <si>
    <t xml:space="preserve"> Mặt nạ collagen </t>
  </si>
  <si>
    <t xml:space="preserve">ORD_0189 </t>
  </si>
  <si>
    <t xml:space="preserve">ORD_0123 </t>
  </si>
  <si>
    <t xml:space="preserve">ORD_0109 </t>
  </si>
  <si>
    <t xml:space="preserve">ORD_0208 </t>
  </si>
  <si>
    <t xml:space="preserve">ORD_0060 </t>
  </si>
  <si>
    <t xml:space="preserve">ORD_0087 </t>
  </si>
  <si>
    <t xml:space="preserve">ORD_0112 </t>
  </si>
  <si>
    <t xml:space="preserve">ORD_0020 </t>
  </si>
  <si>
    <t xml:space="preserve">ORD_0148 </t>
  </si>
  <si>
    <t xml:space="preserve">ORD_0308 </t>
  </si>
  <si>
    <t xml:space="preserve">ORD_0252 </t>
  </si>
  <si>
    <t xml:space="preserve">ORD_0197 </t>
  </si>
  <si>
    <t xml:space="preserve">ORD_0083 </t>
  </si>
  <si>
    <t xml:space="preserve">ORD_0162 </t>
  </si>
  <si>
    <t xml:space="preserve">ORD_0334 </t>
  </si>
  <si>
    <t xml:space="preserve">ORD_0107 </t>
  </si>
  <si>
    <t xml:space="preserve">ORD_0289 </t>
  </si>
  <si>
    <t xml:space="preserve">ORD_0031 </t>
  </si>
  <si>
    <t xml:space="preserve">ORD_0187 </t>
  </si>
  <si>
    <t xml:space="preserve">ORD_0331 </t>
  </si>
  <si>
    <t xml:space="preserve">ORD_0143 </t>
  </si>
  <si>
    <t xml:space="preserve">ORD_0002 </t>
  </si>
  <si>
    <t xml:space="preserve">ORD_0326 </t>
  </si>
  <si>
    <t xml:space="preserve">ORD_0273 </t>
  </si>
  <si>
    <t xml:space="preserve">ORD_0067 </t>
  </si>
  <si>
    <t xml:space="preserve">ORD_0014 </t>
  </si>
  <si>
    <t xml:space="preserve">ORD_0294 </t>
  </si>
  <si>
    <t xml:space="preserve">ORD_0328 </t>
  </si>
  <si>
    <t xml:space="preserve">ORD_0209 </t>
  </si>
  <si>
    <t xml:space="preserve">ORD_0095 </t>
  </si>
  <si>
    <t xml:space="preserve">ORD_0338 </t>
  </si>
  <si>
    <t xml:space="preserve">ORD_0170 </t>
  </si>
  <si>
    <t xml:space="preserve">ORD_0003 </t>
  </si>
  <si>
    <t xml:space="preserve">ORD_0027 </t>
  </si>
  <si>
    <t xml:space="preserve">ORD_0156 </t>
  </si>
  <si>
    <t xml:space="preserve">ORD_0259 </t>
  </si>
  <si>
    <t xml:space="preserve">ORD_0192 </t>
  </si>
  <si>
    <t xml:space="preserve">ORD_0106 </t>
  </si>
  <si>
    <t xml:space="preserve">ORD_0077 </t>
  </si>
  <si>
    <t xml:space="preserve">ORD_0045 </t>
  </si>
  <si>
    <t xml:space="preserve">ORD_0284 </t>
  </si>
  <si>
    <t xml:space="preserve">ORD_0080 </t>
  </si>
  <si>
    <t xml:space="preserve">ORD_0279 </t>
  </si>
  <si>
    <t xml:space="preserve">ORD_0086 </t>
  </si>
  <si>
    <t xml:space="preserve">ORD_0044 </t>
  </si>
  <si>
    <t xml:space="preserve">ORD_0116 </t>
  </si>
  <si>
    <t xml:space="preserve">ORD_0210 </t>
  </si>
  <si>
    <t xml:space="preserve">ORD_0137 </t>
  </si>
  <si>
    <t xml:space="preserve">ORD_0238 </t>
  </si>
  <si>
    <t xml:space="preserve">ORD_0108 </t>
  </si>
  <si>
    <t xml:space="preserve">ORD_0337 </t>
  </si>
  <si>
    <t xml:space="preserve">ORD_0237 </t>
  </si>
  <si>
    <t xml:space="preserve">ORD_0260 </t>
  </si>
  <si>
    <t xml:space="preserve">ORD_0081 </t>
  </si>
  <si>
    <t xml:space="preserve">ORD_0155 </t>
  </si>
  <si>
    <t xml:space="preserve">ORD_0011 </t>
  </si>
  <si>
    <t xml:space="preserve">ORD_0219 </t>
  </si>
  <si>
    <t xml:space="preserve">ORD_0037 </t>
  </si>
  <si>
    <t xml:space="preserve">ORD_0320 </t>
  </si>
  <si>
    <t xml:space="preserve">ORD_0040 </t>
  </si>
  <si>
    <t xml:space="preserve">ORD_0332 </t>
  </si>
  <si>
    <t xml:space="preserve">ORD_0104 </t>
  </si>
  <si>
    <t xml:space="preserve">ORD_0021 </t>
  </si>
  <si>
    <t xml:space="preserve">ORD_0134 </t>
  </si>
  <si>
    <t xml:space="preserve">ORD_0175 </t>
  </si>
  <si>
    <t xml:space="preserve">ORD_0006 </t>
  </si>
  <si>
    <t xml:space="preserve">ORD_0240 </t>
  </si>
  <si>
    <t xml:space="preserve">ORD_0261 </t>
  </si>
  <si>
    <t xml:space="preserve">ORD_0226 </t>
  </si>
  <si>
    <t xml:space="preserve">ORD_0218 </t>
  </si>
  <si>
    <t xml:space="preserve">ORD_0178 </t>
  </si>
  <si>
    <t xml:space="preserve">ORD_0236 </t>
  </si>
  <si>
    <t xml:space="preserve">ORD_0179 </t>
  </si>
  <si>
    <t xml:space="preserve">ORD_0034 </t>
  </si>
  <si>
    <t xml:space="preserve">ORD_0176 </t>
  </si>
  <si>
    <t xml:space="preserve">ORD_0082 </t>
  </si>
  <si>
    <t xml:space="preserve">ORD_0041 </t>
  </si>
  <si>
    <t xml:space="preserve">ORD_0198 </t>
  </si>
  <si>
    <t xml:space="preserve">ORD_0120 </t>
  </si>
  <si>
    <t xml:space="preserve">ORD_0101 </t>
  </si>
  <si>
    <t xml:space="preserve">ORD_0017 </t>
  </si>
  <si>
    <t xml:space="preserve">ORD_0026 </t>
  </si>
  <si>
    <t xml:space="preserve">ORD_0171 </t>
  </si>
  <si>
    <t xml:space="preserve">ORD_0092 </t>
  </si>
  <si>
    <t xml:space="preserve">ORD_0133 </t>
  </si>
  <si>
    <t xml:space="preserve">ORD_0135 </t>
  </si>
  <si>
    <t xml:space="preserve">ORD_0201 </t>
  </si>
  <si>
    <t xml:space="preserve">ORD_0096 </t>
  </si>
  <si>
    <t xml:space="preserve">ORD_0251 </t>
  </si>
  <si>
    <t xml:space="preserve">ORD_0228 </t>
  </si>
  <si>
    <t xml:space="preserve">ORD_0194 </t>
  </si>
  <si>
    <t xml:space="preserve">ORD_0196 </t>
  </si>
  <si>
    <t xml:space="preserve">ORD_0199 </t>
  </si>
  <si>
    <t xml:space="preserve">ORD_0070 </t>
  </si>
  <si>
    <t xml:space="preserve">ORD_0010 </t>
  </si>
  <si>
    <t xml:space="preserve">ORD_0180 </t>
  </si>
  <si>
    <t xml:space="preserve">ORD_0181 </t>
  </si>
  <si>
    <t xml:space="preserve">ORD_0195 </t>
  </si>
  <si>
    <t xml:space="preserve">ORD_0160 </t>
  </si>
  <si>
    <t xml:space="preserve">ORD_0028 </t>
  </si>
  <si>
    <t xml:space="preserve">ORD_0016 </t>
  </si>
  <si>
    <t xml:space="preserve">ORD_0177 </t>
  </si>
  <si>
    <t xml:space="preserve">ORD_0321 </t>
  </si>
  <si>
    <t xml:space="preserve">ORD_0247 </t>
  </si>
  <si>
    <t xml:space="preserve">ORD_0324 </t>
  </si>
  <si>
    <t xml:space="preserve">ORD_0089 </t>
  </si>
  <si>
    <t xml:space="preserve">ORD_0105 </t>
  </si>
  <si>
    <t xml:space="preserve">ORD_0145 </t>
  </si>
  <si>
    <t xml:space="preserve">ORD_0230 </t>
  </si>
  <si>
    <t xml:space="preserve">ORD_0074 </t>
  </si>
  <si>
    <t xml:space="preserve">ORD_0084 </t>
  </si>
  <si>
    <t xml:space="preserve">ORD_0085 </t>
  </si>
  <si>
    <t xml:space="preserve">ORD_0023 </t>
  </si>
  <si>
    <t xml:space="preserve">ORD_0329 </t>
  </si>
  <si>
    <t xml:space="preserve">ORD_0310 </t>
  </si>
  <si>
    <t xml:space="preserve">ORD_0183 </t>
  </si>
  <si>
    <t xml:space="preserve">ORD_0093 </t>
  </si>
  <si>
    <t xml:space="preserve">ORD_0298 </t>
  </si>
  <si>
    <t xml:space="preserve">ORD_0315 </t>
  </si>
  <si>
    <t xml:space="preserve">ORD_0318 </t>
  </si>
  <si>
    <t xml:space="preserve">ORD_0322 </t>
  </si>
  <si>
    <t xml:space="preserve">ORD_0235 </t>
  </si>
  <si>
    <t xml:space="preserve">ORD_0317 </t>
  </si>
  <si>
    <t xml:space="preserve">ORD_0213 </t>
  </si>
  <si>
    <t xml:space="preserve">ORD_0047 </t>
  </si>
  <si>
    <t xml:space="preserve">ORD_0174 </t>
  </si>
  <si>
    <t xml:space="preserve">ORD_0311 </t>
  </si>
  <si>
    <t xml:space="preserve">ORD_0250 </t>
  </si>
  <si>
    <t xml:space="preserve">ORD_0234 </t>
  </si>
  <si>
    <t xml:space="preserve">ORD_0281 </t>
  </si>
  <si>
    <t xml:space="preserve">ORD_0068 </t>
  </si>
  <si>
    <t xml:space="preserve">ORD_0018 </t>
  </si>
  <si>
    <t xml:space="preserve">ORD_0008 </t>
  </si>
  <si>
    <t xml:space="preserve">ORD_0190 </t>
  </si>
  <si>
    <t xml:space="preserve">ORD_0149 </t>
  </si>
  <si>
    <t xml:space="preserve">ORD_0130 </t>
  </si>
  <si>
    <t xml:space="preserve">ORD_0001 </t>
  </si>
  <si>
    <t xml:space="preserve">ORD_0146 </t>
  </si>
  <si>
    <t xml:space="preserve">ORD_0335 </t>
  </si>
  <si>
    <t xml:space="preserve">ORD_0316 </t>
  </si>
  <si>
    <t xml:space="preserve">ORD_0033 </t>
  </si>
  <si>
    <t xml:space="preserve">ORD_0282 </t>
  </si>
  <si>
    <t xml:space="preserve">ORD_0220 </t>
  </si>
  <si>
    <t xml:space="preserve">ORD_0292 </t>
  </si>
  <si>
    <t xml:space="preserve">ORD_0287 </t>
  </si>
  <si>
    <t xml:space="preserve">ORD_0325 </t>
  </si>
  <si>
    <t xml:space="preserve">ORD_0113 </t>
  </si>
  <si>
    <t xml:space="preserve">ORD_0172 </t>
  </si>
  <si>
    <t xml:space="preserve">ORD_0049 </t>
  </si>
  <si>
    <t xml:space="preserve">ORD_0319 </t>
  </si>
  <si>
    <t xml:space="preserve">ORD_0128 </t>
  </si>
  <si>
    <t xml:space="preserve">ORD_0005 </t>
  </si>
  <si>
    <t xml:space="preserve">ORD_0330 </t>
  </si>
  <si>
    <t xml:space="preserve">ORD_0266 </t>
  </si>
  <si>
    <t xml:space="preserve">ORD_0242 </t>
  </si>
  <si>
    <t xml:space="preserve">ORD_0339 </t>
  </si>
  <si>
    <t xml:space="preserve">ORD_0241 </t>
  </si>
  <si>
    <t xml:space="preserve">ORD_0140 </t>
  </si>
  <si>
    <t xml:space="preserve">ORD_0336 </t>
  </si>
  <si>
    <t xml:space="preserve">ORD_0032 </t>
  </si>
  <si>
    <t xml:space="preserve">ORD_0050 </t>
  </si>
  <si>
    <t xml:space="preserve">ORD_0214 </t>
  </si>
  <si>
    <t xml:space="preserve">ORD_0269 </t>
  </si>
  <si>
    <t xml:space="preserve">ORD_0152 </t>
  </si>
  <si>
    <t xml:space="preserve">ORD_0088 </t>
  </si>
  <si>
    <t xml:space="preserve">ORD_0132 </t>
  </si>
  <si>
    <t xml:space="preserve">ORD_0333 </t>
  </si>
  <si>
    <t xml:space="preserve">ORD_0125 </t>
  </si>
  <si>
    <t xml:space="preserve">ORD_0030 </t>
  </si>
  <si>
    <t xml:space="preserve">ORD_0255 </t>
  </si>
  <si>
    <t xml:space="preserve">ORD_0267 </t>
  </si>
  <si>
    <t xml:space="preserve">ORD_0154 </t>
  </si>
  <si>
    <t xml:space="preserve">ORD_0073 </t>
  </si>
  <si>
    <t xml:space="preserve">ORD_0256 </t>
  </si>
  <si>
    <t xml:space="preserve">ORD_0142 </t>
  </si>
  <si>
    <t xml:space="preserve">ORD_0161 </t>
  </si>
  <si>
    <t xml:space="preserve">ORD_0313 </t>
  </si>
  <si>
    <t xml:space="preserve">ORD_0004 </t>
  </si>
  <si>
    <t xml:space="preserve">ORD_0013 </t>
  </si>
  <si>
    <t xml:space="preserve">ORD_0097 </t>
  </si>
  <si>
    <t xml:space="preserve">ORD_0248 </t>
  </si>
  <si>
    <t xml:space="preserve">ORD_0184 </t>
  </si>
  <si>
    <t xml:space="preserve">ORD_0262 </t>
  </si>
  <si>
    <t xml:space="preserve">ORD_0099 </t>
  </si>
  <si>
    <t xml:space="preserve">ORD_0153 </t>
  </si>
  <si>
    <t xml:space="preserve">ORD_0283 </t>
  </si>
  <si>
    <t xml:space="preserve">ORD_0024 </t>
  </si>
  <si>
    <t xml:space="preserve">ORD_0043 </t>
  </si>
  <si>
    <t xml:space="preserve">ORD_0263 </t>
  </si>
  <si>
    <t xml:space="preserve">ORD_0182 </t>
  </si>
  <si>
    <t xml:space="preserve">ORD_0186 </t>
  </si>
  <si>
    <t xml:space="preserve">ORD_0046 </t>
  </si>
  <si>
    <t xml:space="preserve">ORD_0036 </t>
  </si>
  <si>
    <t xml:space="preserve">ORD_0277 </t>
  </si>
  <si>
    <t xml:space="preserve">ORD_0127 </t>
  </si>
  <si>
    <t xml:space="preserve">ORD_0239 </t>
  </si>
  <si>
    <t xml:space="preserve">ORD_0227 </t>
  </si>
  <si>
    <t xml:space="preserve">ORD_0103 </t>
  </si>
  <si>
    <t xml:space="preserve">ORD_0243 </t>
  </si>
  <si>
    <t xml:space="preserve">ORD_0119 </t>
  </si>
  <si>
    <t xml:space="preserve">ORD_0079 </t>
  </si>
  <si>
    <t xml:space="preserve">ORD_0078 </t>
  </si>
  <si>
    <t xml:space="preserve">ORD_0225 </t>
  </si>
  <si>
    <t xml:space="preserve">ORD_0291 </t>
  </si>
  <si>
    <t xml:space="preserve">ORD_0025 </t>
  </si>
  <si>
    <t xml:space="preserve">ORD_0232 </t>
  </si>
  <si>
    <t xml:space="preserve">ORD_0244 </t>
  </si>
  <si>
    <t xml:space="preserve">ORD_0102 </t>
  </si>
  <si>
    <t xml:space="preserve">ORD_0305 </t>
  </si>
  <si>
    <t xml:space="preserve">ORD_0257 </t>
  </si>
  <si>
    <t xml:space="preserve">ORD_0042 </t>
  </si>
  <si>
    <t xml:space="preserve">ORD_0126 </t>
  </si>
  <si>
    <t xml:space="preserve">ORD_0306 </t>
  </si>
  <si>
    <t xml:space="preserve">ORD_0278 </t>
  </si>
  <si>
    <t xml:space="preserve">ORD_0058 </t>
  </si>
  <si>
    <t xml:space="preserve">ORD_0098 </t>
  </si>
  <si>
    <t xml:space="preserve">ORD_0245 </t>
  </si>
  <si>
    <t xml:space="preserve">ORD_0211 </t>
  </si>
  <si>
    <t xml:space="preserve">ORD_0312 </t>
  </si>
  <si>
    <t xml:space="preserve">ORD_0217 </t>
  </si>
  <si>
    <t xml:space="preserve">ORD_0144 </t>
  </si>
  <si>
    <t xml:space="preserve">ORD_0191 </t>
  </si>
  <si>
    <t xml:space="preserve">ORD_0304 </t>
  </si>
  <si>
    <t xml:space="preserve">ORD_0307 </t>
  </si>
  <si>
    <t xml:space="preserve">ORD_0168 </t>
  </si>
  <si>
    <t xml:space="preserve">ORD_0258 </t>
  </si>
  <si>
    <t xml:space="preserve">ORD_0314 </t>
  </si>
  <si>
    <t xml:space="preserve">ORD_0166 </t>
  </si>
  <si>
    <t xml:space="preserve">ORD_0249 </t>
  </si>
  <si>
    <t xml:space="preserve">ORD_0205 </t>
  </si>
  <si>
    <t xml:space="preserve">ORD_0207 </t>
  </si>
  <si>
    <t xml:space="preserve">ORD_0222 </t>
  </si>
  <si>
    <t xml:space="preserve">ORD_0054 </t>
  </si>
  <si>
    <t xml:space="preserve">ORD_0035 </t>
  </si>
  <si>
    <t xml:space="preserve">ORD_0131 </t>
  </si>
  <si>
    <t xml:space="preserve">ORD_0115 </t>
  </si>
  <si>
    <t xml:space="preserve">ORD_0062 </t>
  </si>
  <si>
    <t xml:space="preserve">ORD_0188 </t>
  </si>
  <si>
    <t xml:space="preserve">ORD_0059 </t>
  </si>
  <si>
    <t xml:space="preserve">ORD_0301 </t>
  </si>
  <si>
    <t xml:space="preserve">ORD_0309 </t>
  </si>
  <si>
    <t xml:space="preserve">ORD_0114 </t>
  </si>
  <si>
    <t xml:space="preserve">ORD_0300 </t>
  </si>
  <si>
    <t xml:space="preserve">ORD_0169 </t>
  </si>
  <si>
    <t xml:space="preserve">ORD_0229 </t>
  </si>
  <si>
    <t xml:space="preserve">ORD_0136 </t>
  </si>
  <si>
    <t xml:space="preserve">ORD_0340 </t>
  </si>
  <si>
    <t xml:space="preserve">ORD_0019 </t>
  </si>
  <si>
    <t xml:space="preserve">ORD_0072 </t>
  </si>
  <si>
    <t xml:space="preserve">ORD_0288 </t>
  </si>
  <si>
    <t xml:space="preserve">ORD_0151 </t>
  </si>
  <si>
    <t xml:space="preserve">ORD_0272 </t>
  </si>
  <si>
    <t xml:space="preserve">ORD_0270 </t>
  </si>
  <si>
    <t xml:space="preserve">ORD_0009 </t>
  </si>
  <si>
    <t xml:space="preserve">ORD_0053 </t>
  </si>
  <si>
    <t xml:space="preserve">ORD_0111 </t>
  </si>
  <si>
    <t xml:space="preserve">ORD_0022 </t>
  </si>
  <si>
    <t xml:space="preserve">ORD_0029 </t>
  </si>
  <si>
    <t xml:space="preserve">ORD_0202 </t>
  </si>
  <si>
    <t xml:space="preserve">ORD_0265 </t>
  </si>
  <si>
    <t xml:space="preserve">ORD_0065 </t>
  </si>
  <si>
    <t xml:space="preserve">ORD_0012 </t>
  </si>
  <si>
    <t xml:space="preserve">ORD_0254 </t>
  </si>
  <si>
    <t xml:space="preserve">ORD_0295 </t>
  </si>
  <si>
    <t xml:space="preserve">ORD_0276 </t>
  </si>
  <si>
    <t xml:space="preserve">ORD_0297 </t>
  </si>
  <si>
    <t xml:space="preserve">ORD_0075 </t>
  </si>
  <si>
    <t xml:space="preserve">ORD_0048 </t>
  </si>
  <si>
    <t xml:space="preserve">ORD_0100 </t>
  </si>
  <si>
    <t xml:space="preserve">ORD_0173 </t>
  </si>
  <si>
    <t xml:space="preserve">ORD_0015 </t>
  </si>
  <si>
    <t xml:space="preserve">ORD_0274 </t>
  </si>
  <si>
    <t xml:space="preserve">ORD_0185 </t>
  </si>
  <si>
    <t xml:space="preserve">ORD_0090 </t>
  </si>
  <si>
    <t xml:space="preserve">ORD_0052 </t>
  </si>
  <si>
    <t xml:space="preserve">ORD_0206 </t>
  </si>
  <si>
    <t xml:space="preserve">ORD_0303 </t>
  </si>
  <si>
    <t xml:space="preserve">ORD_0200 </t>
  </si>
  <si>
    <t xml:space="preserve">ORD_0165 </t>
  </si>
  <si>
    <t xml:space="preserve">ORD_0066 </t>
  </si>
  <si>
    <t xml:space="preserve">ORD_0071 </t>
  </si>
  <si>
    <t xml:space="preserve">ORD_0233 </t>
  </si>
  <si>
    <t xml:space="preserve">ORD_0231 </t>
  </si>
  <si>
    <t xml:space="preserve">ORD_0038 </t>
  </si>
  <si>
    <t xml:space="preserve">ORD_0286 </t>
  </si>
  <si>
    <t xml:space="preserve">ORD_0221 </t>
  </si>
  <si>
    <t xml:space="preserve">ORD_0056 </t>
  </si>
  <si>
    <t xml:space="preserve">ORD_0139 </t>
  </si>
  <si>
    <t xml:space="preserve">ORD_0141 </t>
  </si>
  <si>
    <t xml:space="preserve">ORD_0076 </t>
  </si>
  <si>
    <t xml:space="preserve">ORD_0091 </t>
  </si>
  <si>
    <t xml:space="preserve">ORD_0290 </t>
  </si>
  <si>
    <t xml:space="preserve">ORD_0264 </t>
  </si>
  <si>
    <t xml:space="preserve">ORD_0124 </t>
  </si>
  <si>
    <t xml:space="preserve">ORD_0147 </t>
  </si>
  <si>
    <t xml:space="preserve">ORD_0224 </t>
  </si>
  <si>
    <t xml:space="preserve">ORD_0118 </t>
  </si>
  <si>
    <t xml:space="preserve">ORD_0061 </t>
  </si>
  <si>
    <t xml:space="preserve">ORD_0064 </t>
  </si>
  <si>
    <t xml:space="preserve">ORD_0158 </t>
  </si>
  <si>
    <t xml:space="preserve">ORD_0159 </t>
  </si>
  <si>
    <t xml:space="preserve">ORD_0157 </t>
  </si>
  <si>
    <t xml:space="preserve">ORD_0122 </t>
  </si>
  <si>
    <t xml:space="preserve">ORD_0163 </t>
  </si>
  <si>
    <t xml:space="preserve">ORD_0039 </t>
  </si>
  <si>
    <t xml:space="preserve">ORD_0110 </t>
  </si>
  <si>
    <t xml:space="preserve">ORD_0063 </t>
  </si>
  <si>
    <t xml:space="preserve">ORD_0327 </t>
  </si>
  <si>
    <t xml:space="preserve">ORD_0055 </t>
  </si>
  <si>
    <t xml:space="preserve">ORD_0094 </t>
  </si>
  <si>
    <t xml:space="preserve">ORD_0204 </t>
  </si>
  <si>
    <t xml:space="preserve">ORD_0271 </t>
  </si>
  <si>
    <t xml:space="preserve">ORD_0323 </t>
  </si>
  <si>
    <t xml:space="preserve">ORD_0193 </t>
  </si>
  <si>
    <t xml:space="preserve">ORD_0216 </t>
  </si>
  <si>
    <t xml:space="preserve">ORD_0275 </t>
  </si>
  <si>
    <t xml:space="preserve">ORD_0203 </t>
  </si>
  <si>
    <t xml:space="preserve">ORD_0253 </t>
  </si>
  <si>
    <t xml:space="preserve">ORD_0007 </t>
  </si>
  <si>
    <t xml:space="preserve">ORD_0138 </t>
  </si>
  <si>
    <t xml:space="preserve">ORD_0069 </t>
  </si>
  <si>
    <t xml:space="preserve">ORD_0246 </t>
  </si>
  <si>
    <t xml:space="preserve">ORD_0268 </t>
  </si>
  <si>
    <t xml:space="preserve">ORD_0296 </t>
  </si>
  <si>
    <t xml:space="preserve">ORD_0167 </t>
  </si>
  <si>
    <t xml:space="preserve">ORD_0293 </t>
  </si>
  <si>
    <t xml:space="preserve">ORD_0129 </t>
  </si>
  <si>
    <t xml:space="preserve">ORD_0223 </t>
  </si>
  <si>
    <t xml:space="preserve">ORD_0299 </t>
  </si>
  <si>
    <t>Ma_Don</t>
  </si>
  <si>
    <t>San_Pham</t>
  </si>
  <si>
    <t>Kenh</t>
  </si>
  <si>
    <t>Loi_Nhuan</t>
  </si>
  <si>
    <t>Tuan</t>
  </si>
  <si>
    <t>Row Labels</t>
  </si>
  <si>
    <t>Grand Total</t>
  </si>
  <si>
    <t>Sum of Revenue</t>
  </si>
  <si>
    <t>Sum of Ad_Cost</t>
  </si>
  <si>
    <t>Count of Ma_Don</t>
  </si>
  <si>
    <t>Count of Status</t>
  </si>
  <si>
    <t>Column Labels</t>
  </si>
  <si>
    <t xml:space="preserve"> KEmail Marketing dưỡng ẩm </t>
  </si>
  <si>
    <t xml:space="preserve"> KEmail Marketing mắt </t>
  </si>
  <si>
    <t xml:space="preserve"> KEmail Marketing chống nắng </t>
  </si>
  <si>
    <t>Email Marketing</t>
  </si>
  <si>
    <t>Facebook Ads</t>
  </si>
  <si>
    <t>TikTok Ads</t>
  </si>
  <si>
    <t>Google 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</si>
</sst>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010000]d/m/yyyy;@"/>
  </numFmts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2" fillId="0" borderId="0" xfId="0" applyFont="1" applyAlignment="1">
      <alignment horizontal="center"/>
    </xf>
    <xf numFmtId="0" fontId="3" fillId="0" borderId="0" xfId="0" applyFont="1"/>
    <xf numFmtId="165" fontId="2" fillId="0" borderId="0" xfId="0" applyNumberFormat="1" applyFont="1" applyAlignment="1">
      <alignment horizontal="center"/>
    </xf>
    <xf numFmtId="165" fontId="3" fillId="0" borderId="0" xfId="0" applyNumberFormat="1" applyFont="1"/>
    <xf numFmtId="165" fontId="4" fillId="0" borderId="0" xfId="0" applyNumberFormat="1" applyFont="1"/>
    <xf numFmtId="165" fontId="0" fillId="0" borderId="0" xfId="0" applyNumberFormat="1" applyFont="1" applyAlignment="1"/>
    <xf numFmtId="0" fontId="1" fillId="0" borderId="0" xfId="0" applyFo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NumberFormat="1" applyFont="1" applyAlignment="1"/>
    <xf numFmtId="10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[btth2.xlsx]Sheet1!PivotTable6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Sheet1!$A$4:$A$8</c:f>
              <c:strCache>
                <c:ptCount val="4"/>
                <c:pt idx="0">
                  <c:v>Facebook Ads</c:v>
                </c:pt>
                <c:pt idx="1">
                  <c:v>Email Marketing</c:v>
                </c:pt>
                <c:pt idx="2">
                  <c:v>Google Ads</c:v>
                </c:pt>
                <c:pt idx="3">
                  <c:v>TikTok Ads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4"/>
                <c:pt idx="0">
                  <c:v>118505837</c:v>
                </c:pt>
                <c:pt idx="1">
                  <c:v>63976167</c:v>
                </c:pt>
                <c:pt idx="2">
                  <c:v>59337756</c:v>
                </c:pt>
                <c:pt idx="3">
                  <c:v>98515281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AC-4EAC-8BD9-DC1908732D60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Count of Ma_Don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Sheet1!$A$4:$A$8</c:f>
              <c:strCache>
                <c:ptCount val="4"/>
                <c:pt idx="0">
                  <c:v>Facebook Ads</c:v>
                </c:pt>
                <c:pt idx="1">
                  <c:v>Email Marketing</c:v>
                </c:pt>
                <c:pt idx="2">
                  <c:v>Google Ads</c:v>
                </c:pt>
                <c:pt idx="3">
                  <c:v>TikTok Ads</c:v>
                </c:pt>
              </c:strCache>
            </c:strRef>
          </c:cat>
          <c:val>
            <c:numRef>
              <c:f>Sheet1!$C$4:$C$8</c:f>
              <c:numCache>
                <c:formatCode>General</c:formatCode>
                <c:ptCount val="4"/>
                <c:pt idx="0">
                  <c:v>125</c:v>
                </c:pt>
                <c:pt idx="1">
                  <c:v>79</c:v>
                </c:pt>
                <c:pt idx="2">
                  <c:v>72</c:v>
                </c:pt>
                <c:pt idx="3">
                  <c:v>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AC-4EAC-8BD9-DC1908732D60}"/>
            </c:ext>
          </c:extLst>
        </c:ser>
        <c:ser>
          <c:idx val="2"/>
          <c:order val="2"/>
          <c:tx>
            <c:strRef>
              <c:f>Sheet1!$D$3</c:f>
              <c:strCache>
                <c:ptCount val="1"/>
                <c:pt idx="0">
                  <c:v>Sum of Ad_Cost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Sheet1!$A$4:$A$8</c:f>
              <c:strCache>
                <c:ptCount val="4"/>
                <c:pt idx="0">
                  <c:v>Facebook Ads</c:v>
                </c:pt>
                <c:pt idx="1">
                  <c:v>Email Marketing</c:v>
                </c:pt>
                <c:pt idx="2">
                  <c:v>Google Ads</c:v>
                </c:pt>
                <c:pt idx="3">
                  <c:v>TikTok Ads</c:v>
                </c:pt>
              </c:strCache>
            </c:strRef>
          </c:cat>
          <c:val>
            <c:numRef>
              <c:f>Sheet1!$D$4:$D$8</c:f>
              <c:numCache>
                <c:formatCode>General</c:formatCode>
                <c:ptCount val="4"/>
                <c:pt idx="0">
                  <c:v>11729571</c:v>
                </c:pt>
                <c:pt idx="1">
                  <c:v>1226570</c:v>
                </c:pt>
                <c:pt idx="2">
                  <c:v>8149866</c:v>
                </c:pt>
                <c:pt idx="3">
                  <c:v>6475093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AC-4EAC-8BD9-DC1908732D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2857536"/>
        <c:axId val="892858016"/>
      </c:barChart>
      <c:catAx>
        <c:axId val="8928575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858016"/>
        <c:crosses val="autoZero"/>
        <c:auto val="1"/>
        <c:lblAlgn val="ctr"/>
        <c:lblOffset val="100"/>
        <c:noMultiLvlLbl val="0"/>
      </c:catAx>
      <c:valAx>
        <c:axId val="89285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857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[btth2.xlsx]Sheet1!PivotTable7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Tỷ trọng doanh thu theo kênh hoặc theo sản phẩm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Sheet1!$B$17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Sheet1!$A$18:$A$22</c:f>
              <c:strCache>
                <c:ptCount val="4"/>
                <c:pt idx="0">
                  <c:v>Facebook Ads</c:v>
                </c:pt>
                <c:pt idx="1">
                  <c:v>Email Marketing</c:v>
                </c:pt>
                <c:pt idx="2">
                  <c:v>Google Ads</c:v>
                </c:pt>
                <c:pt idx="3">
                  <c:v>TikTok Ads</c:v>
                </c:pt>
              </c:strCache>
            </c:strRef>
          </c:cat>
          <c:val>
            <c:numRef>
              <c:f>Sheet1!$B$18:$B$22</c:f>
              <c:numCache>
                <c:formatCode>General</c:formatCode>
                <c:ptCount val="4"/>
                <c:pt idx="0">
                  <c:v>104</c:v>
                </c:pt>
                <c:pt idx="1">
                  <c:v>62</c:v>
                </c:pt>
                <c:pt idx="2">
                  <c:v>59</c:v>
                </c:pt>
                <c:pt idx="3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2D-4E73-9F45-81BCC69E2D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[btth2.xlsx]Sheet1!PivotTable9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sz="1400" b="0" i="0" u="none" strike="noStrike" baseline="0">
                <a:effectLst/>
              </a:rPr>
              <a:t>Xu hướng doanh thu theo tuần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Sheet1!$B$53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Sheet1!$A$54:$A$69</c:f>
              <c:strCache>
                <c:ptCount val="15"/>
                <c:pt idx="0">
                  <c:v>1</c:v>
                </c:pt>
                <c:pt idx="1">
                  <c:v>40</c:v>
                </c:pt>
                <c:pt idx="2">
                  <c:v>41</c:v>
                </c:pt>
                <c:pt idx="3">
                  <c:v>42</c:v>
                </c:pt>
                <c:pt idx="4">
                  <c:v>43</c:v>
                </c:pt>
                <c:pt idx="5">
                  <c:v>44</c:v>
                </c:pt>
                <c:pt idx="6">
                  <c:v>45</c:v>
                </c:pt>
                <c:pt idx="7">
                  <c:v>46</c:v>
                </c:pt>
                <c:pt idx="8">
                  <c:v>47</c:v>
                </c:pt>
                <c:pt idx="9">
                  <c:v>48</c:v>
                </c:pt>
                <c:pt idx="10">
                  <c:v>49</c:v>
                </c:pt>
                <c:pt idx="11">
                  <c:v>50</c:v>
                </c:pt>
                <c:pt idx="12">
                  <c:v>51</c:v>
                </c:pt>
                <c:pt idx="13">
                  <c:v>52</c:v>
                </c:pt>
                <c:pt idx="14">
                  <c:v>53</c:v>
                </c:pt>
              </c:strCache>
            </c:strRef>
          </c:cat>
          <c:val>
            <c:numRef>
              <c:f>Sheet1!$B$54:$B$69</c:f>
              <c:numCache>
                <c:formatCode>General</c:formatCode>
                <c:ptCount val="15"/>
                <c:pt idx="0">
                  <c:v>279998</c:v>
                </c:pt>
                <c:pt idx="1">
                  <c:v>21179001</c:v>
                </c:pt>
                <c:pt idx="2">
                  <c:v>27773853</c:v>
                </c:pt>
                <c:pt idx="3">
                  <c:v>21187771</c:v>
                </c:pt>
                <c:pt idx="4">
                  <c:v>25880250</c:v>
                </c:pt>
                <c:pt idx="5">
                  <c:v>31349020</c:v>
                </c:pt>
                <c:pt idx="6">
                  <c:v>27806482</c:v>
                </c:pt>
                <c:pt idx="7">
                  <c:v>28506358</c:v>
                </c:pt>
                <c:pt idx="8">
                  <c:v>24425733</c:v>
                </c:pt>
                <c:pt idx="9">
                  <c:v>17791472</c:v>
                </c:pt>
                <c:pt idx="10">
                  <c:v>33610125</c:v>
                </c:pt>
                <c:pt idx="11">
                  <c:v>31275052</c:v>
                </c:pt>
                <c:pt idx="12">
                  <c:v>21603477</c:v>
                </c:pt>
                <c:pt idx="13">
                  <c:v>19508640</c:v>
                </c:pt>
                <c:pt idx="14">
                  <c:v>8157809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EA-4BFF-B5CE-B8D9B859E2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6938480"/>
        <c:axId val="726937520"/>
      </c:lineChart>
      <c:catAx>
        <c:axId val="72693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937520"/>
        <c:crosses val="autoZero"/>
        <c:auto val="1"/>
        <c:lblAlgn val="ctr"/>
        <c:lblOffset val="100"/>
        <c:noMultiLvlLbl val="0"/>
      </c:catAx>
      <c:valAx>
        <c:axId val="726937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938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[btth2.xlsx]Sheet1!PivotTable10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Sheet1!$B$79:$B$80</c:f>
              <c:strCache>
                <c:ptCount val="1"/>
                <c:pt idx="0">
                  <c:v>Hủy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Sheet1!$A$81:$A$85</c:f>
              <c:strCache>
                <c:ptCount val="4"/>
                <c:pt idx="0">
                  <c:v>Facebook Ads</c:v>
                </c:pt>
                <c:pt idx="1">
                  <c:v>Email Marketing</c:v>
                </c:pt>
                <c:pt idx="2">
                  <c:v>Google Ads</c:v>
                </c:pt>
                <c:pt idx="3">
                  <c:v>TikTok Ads</c:v>
                </c:pt>
              </c:strCache>
            </c:strRef>
          </c:cat>
          <c:val>
            <c:numRef>
              <c:f>Sheet1!$B$81:$B$85</c:f>
              <c:numCache>
                <c:formatCode>0.00%</c:formatCode>
                <c:ptCount val="4"/>
                <c:pt idx="0">
                  <c:v>0.31343283582089554</c:v>
                </c:pt>
                <c:pt idx="1">
                  <c:v>0.2537313432835821</c:v>
                </c:pt>
                <c:pt idx="2">
                  <c:v>0.19402985074626866</c:v>
                </c:pt>
                <c:pt idx="3">
                  <c:v>0.23880597014925373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2E-4B57-890C-500ADE9D6EF8}"/>
            </c:ext>
          </c:extLst>
        </c:ser>
        <c:ser>
          <c:idx val="1"/>
          <c:order val="1"/>
          <c:tx>
            <c:strRef>
              <c:f>Sheet1!$C$79:$C$80</c:f>
              <c:strCache>
                <c:ptCount val="1"/>
                <c:pt idx="0">
                  <c:v>Thành Công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Sheet1!$A$81:$A$85</c:f>
              <c:strCache>
                <c:ptCount val="4"/>
                <c:pt idx="0">
                  <c:v>Facebook Ads</c:v>
                </c:pt>
                <c:pt idx="1">
                  <c:v>Email Marketing</c:v>
                </c:pt>
                <c:pt idx="2">
                  <c:v>Google Ads</c:v>
                </c:pt>
                <c:pt idx="3">
                  <c:v>TikTok Ads</c:v>
                </c:pt>
              </c:strCache>
            </c:strRef>
          </c:cat>
          <c:val>
            <c:numRef>
              <c:f>Sheet1!$C$81:$C$85</c:f>
              <c:numCache>
                <c:formatCode>0.00%</c:formatCode>
                <c:ptCount val="4"/>
                <c:pt idx="0">
                  <c:v>0.33440514469453375</c:v>
                </c:pt>
                <c:pt idx="1">
                  <c:v>0.19935691318327975</c:v>
                </c:pt>
                <c:pt idx="2">
                  <c:v>0.18971061093247588</c:v>
                </c:pt>
                <c:pt idx="3">
                  <c:v>0.27652733118971062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2E-4B57-890C-500ADE9D6E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86700384"/>
        <c:axId val="886700864"/>
      </c:barChart>
      <c:catAx>
        <c:axId val="886700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700864"/>
        <c:crosses val="autoZero"/>
        <c:auto val="1"/>
        <c:lblAlgn val="ctr"/>
        <c:lblOffset val="100"/>
        <c:noMultiLvlLbl val="0"/>
      </c:catAx>
      <c:valAx>
        <c:axId val="88670086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700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120650</xdr:colOff>
      <xdr:row>0</xdr:row>
      <xdr:rowOff>139700</xdr:rowOff>
    </xdr:from>
    <xdr:to>
      <xdr:col>10</xdr:col>
      <xdr:colOff>209550</xdr:colOff>
      <xdr:row>12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8EC449-F4B3-F9D6-B714-894C102322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933450</xdr:colOff>
      <xdr:row>13</xdr:row>
      <xdr:rowOff>165100</xdr:rowOff>
    </xdr:from>
    <xdr:to>
      <xdr:col>7</xdr:col>
      <xdr:colOff>419100</xdr:colOff>
      <xdr:row>23</xdr:row>
      <xdr:rowOff>107950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93B538A-0D45-1AFE-C940-5C367834FD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939800</xdr:colOff>
      <xdr:row>53</xdr:row>
      <xdr:rowOff>50800</xdr:rowOff>
    </xdr:from>
    <xdr:to>
      <xdr:col>7</xdr:col>
      <xdr:colOff>419100</xdr:colOff>
      <xdr:row>65</xdr:row>
      <xdr:rowOff>107950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BF7B95-1B80-0D66-C171-0623F1B9B8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273049</xdr:colOff>
      <xdr:row>76</xdr:row>
      <xdr:rowOff>120650</xdr:rowOff>
    </xdr:from>
    <xdr:to>
      <xdr:col>9</xdr:col>
      <xdr:colOff>323850</xdr:colOff>
      <xdr:row>86</xdr:row>
      <xdr:rowOff>82550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69ECF4B-75FB-D665-75FD-9788798202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ùi Hòa" refreshedDate="46049.331016319447" createdVersion="8" refreshedVersion="8" minRefreshableVersion="3" recordCount="1000" xr:uid="{A9CB29ED-775D-4EAA-889B-CD76768A1A49}">
  <cacheSource type="worksheet">
    <worksheetSource ref="A1:I1048576" sheet="Dataset_SS11_Bai2_Marketing"/>
  </cacheSource>
  <cacheFields count="9">
    <cacheField name="Ma_Don" numFmtId="0">
      <sharedItems containsBlank="1"/>
    </cacheField>
    <cacheField name="San_Pham" numFmtId="0">
      <sharedItems containsBlank="1" count="14">
        <s v=" Serum Vitamin C "/>
        <s v=" Sữa rửa mặt "/>
        <s v=" Tinh chất retinol "/>
        <s v=" Toner "/>
        <s v=" KEmail Marketing dưỡng ẩm "/>
        <s v=" Xịt khoáng "/>
        <s v=" Son dưỡng "/>
        <s v=" Mặt nạ collagen "/>
        <s v=" KEmail Marketing mắt "/>
        <s v=" KEmail Marketing chống nắng "/>
        <m/>
        <s v=" Kem dưỡng ẩm " u="1"/>
        <s v=" Kem mắt " u="1"/>
        <s v=" Kem chống nắng " u="1"/>
      </sharedItems>
    </cacheField>
    <cacheField name="Kenh" numFmtId="0">
      <sharedItems containsBlank="1" count="14">
        <s v="Facebook Ads"/>
        <s v="Email Marketing"/>
        <s v="Google Ads"/>
        <s v="TikTok Ads"/>
        <m/>
        <s v="Email Marketingail Marketing" u="1"/>
        <s v=" Facebook Ads" u="1"/>
        <s v=" EM" u="1"/>
        <s v=" Google Ads" u="1"/>
        <s v=" FB" u="1"/>
        <s v=" GG" u="1"/>
        <s v=" TT" u="1"/>
        <s v=" TikTok Ads" u="1"/>
        <s v=" Email Marketing" u="1"/>
      </sharedItems>
    </cacheField>
    <cacheField name="Ad_Cost" numFmtId="0">
      <sharedItems containsString="0" containsBlank="1" containsNumber="1" containsInteger="1" minValue="5038" maxValue="199874"/>
    </cacheField>
    <cacheField name="Revenue" numFmtId="0">
      <sharedItems containsString="0" containsBlank="1" containsNumber="1" containsInteger="1" minValue="0" maxValue="1995287"/>
    </cacheField>
    <cacheField name="Loi_Nhuan" numFmtId="0">
      <sharedItems containsBlank="1" containsMixedTypes="1" containsNumber="1" containsInteger="1" minValue="-102825" maxValue="1958653"/>
    </cacheField>
    <cacheField name="Status" numFmtId="0">
      <sharedItems containsBlank="1" count="3">
        <s v="Thành Công"/>
        <s v="Hủy"/>
        <m/>
      </sharedItems>
    </cacheField>
    <cacheField name="Tuan" numFmtId="0">
      <sharedItems containsString="0" containsBlank="1" containsNumber="1" containsInteger="1" minValue="1" maxValue="53" count="16">
        <n v="50"/>
        <n v="42"/>
        <n v="46"/>
        <n v="51"/>
        <n v="45"/>
        <n v="47"/>
        <n v="43"/>
        <n v="48"/>
        <n v="41"/>
        <n v="40"/>
        <n v="44"/>
        <n v="52"/>
        <n v="49"/>
        <n v="53"/>
        <n v="1"/>
        <m/>
      </sharedItems>
    </cacheField>
    <cacheField name="Ngay_Dat" numFmtId="165">
      <sharedItems containsNonDate="0" containsDate="1" containsString="0" containsBlank="1" minDate="2024-10-01T00:00:00" maxDate="2025-01-01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ORD_0215 "/>
    <x v="0"/>
    <x v="0"/>
    <n v="125114"/>
    <n v="1232047"/>
    <n v="1106933"/>
    <x v="0"/>
    <x v="0"/>
    <d v="2024-11-23T00:00:00"/>
  </r>
  <r>
    <s v="ORD_0280 "/>
    <x v="1"/>
    <x v="0"/>
    <n v="61133"/>
    <n v="0"/>
    <s v=" "/>
    <x v="1"/>
    <x v="1"/>
    <d v="2024-12-15T00:00:00"/>
  </r>
  <r>
    <s v="ORD_0285 "/>
    <x v="1"/>
    <x v="1"/>
    <n v="26822"/>
    <n v="1453244"/>
    <n v="1426422"/>
    <x v="0"/>
    <x v="2"/>
    <d v="2024-10-20T00:00:00"/>
  </r>
  <r>
    <s v="ORD_0302 "/>
    <x v="2"/>
    <x v="0"/>
    <n v="36733"/>
    <n v="1939972"/>
    <n v="1903239"/>
    <x v="0"/>
    <x v="0"/>
    <d v="2024-11-16T00:00:00"/>
  </r>
  <r>
    <s v="ORD_0117 "/>
    <x v="1"/>
    <x v="1"/>
    <n v="11573"/>
    <n v="1774467"/>
    <n v="1762894"/>
    <x v="0"/>
    <x v="3"/>
    <d v="2024-12-11T00:00:00"/>
  </r>
  <r>
    <s v="ORD_0164 "/>
    <x v="3"/>
    <x v="2"/>
    <n v="103141"/>
    <n v="0"/>
    <s v=" "/>
    <x v="1"/>
    <x v="4"/>
    <d v="2024-12-20T00:00:00"/>
  </r>
  <r>
    <s v="ORD_0150 "/>
    <x v="0"/>
    <x v="0"/>
    <n v="117796"/>
    <n v="875995"/>
    <n v="758199"/>
    <x v="0"/>
    <x v="1"/>
    <d v="2024-11-04T00:00:00"/>
  </r>
  <r>
    <s v="ORD_0057 "/>
    <x v="4"/>
    <x v="2"/>
    <n v="85550"/>
    <n v="378936"/>
    <n v="293386"/>
    <x v="0"/>
    <x v="5"/>
    <d v="2024-10-16T00:00:00"/>
  </r>
  <r>
    <s v="ORD_0212 "/>
    <x v="5"/>
    <x v="2"/>
    <n v="156402"/>
    <n v="376836"/>
    <n v="220434"/>
    <x v="0"/>
    <x v="6"/>
    <d v="2024-11-20T00:00:00"/>
  </r>
  <r>
    <s v="ORD_0121 "/>
    <x v="6"/>
    <x v="0"/>
    <n v="116280"/>
    <n v="1285965"/>
    <n v="1169685"/>
    <x v="0"/>
    <x v="4"/>
    <d v="2024-10-21T00:00:00"/>
  </r>
  <r>
    <s v="ORD_0051 "/>
    <x v="7"/>
    <x v="2"/>
    <n v="146834"/>
    <n v="256412"/>
    <n v="109578"/>
    <x v="0"/>
    <x v="2"/>
    <d v="2024-11-09T00:00:00"/>
  </r>
  <r>
    <s v="ORD_0189 "/>
    <x v="4"/>
    <x v="3"/>
    <n v="93792"/>
    <n v="1698250"/>
    <n v="1604458"/>
    <x v="0"/>
    <x v="4"/>
    <d v="2024-11-15T00:00:00"/>
  </r>
  <r>
    <s v="ORD_0123 "/>
    <x v="2"/>
    <x v="3"/>
    <n v="47964"/>
    <n v="329468"/>
    <n v="281504"/>
    <x v="0"/>
    <x v="7"/>
    <d v="2024-11-05T00:00:00"/>
  </r>
  <r>
    <s v="ORD_0109 "/>
    <x v="0"/>
    <x v="2"/>
    <n v="96372"/>
    <n v="1490988"/>
    <n v="1394616"/>
    <x v="0"/>
    <x v="8"/>
    <d v="2024-11-27T00:00:00"/>
  </r>
  <r>
    <s v="ORD_0208 "/>
    <x v="0"/>
    <x v="3"/>
    <n v="49932"/>
    <n v="805516"/>
    <n v="755584"/>
    <x v="0"/>
    <x v="0"/>
    <d v="2024-10-10T00:00:00"/>
  </r>
  <r>
    <s v="ORD_0060 "/>
    <x v="2"/>
    <x v="2"/>
    <n v="67368"/>
    <n v="0"/>
    <s v=" "/>
    <x v="1"/>
    <x v="1"/>
    <d v="2024-12-14T00:00:00"/>
  </r>
  <r>
    <s v="ORD_0087 "/>
    <x v="6"/>
    <x v="1"/>
    <n v="25418"/>
    <n v="342139"/>
    <n v="316721"/>
    <x v="0"/>
    <x v="9"/>
    <d v="2024-10-15T00:00:00"/>
  </r>
  <r>
    <s v="ORD_0112 "/>
    <x v="2"/>
    <x v="1"/>
    <n v="25017"/>
    <n v="380396"/>
    <n v="355379"/>
    <x v="0"/>
    <x v="1"/>
    <d v="2024-10-06T00:00:00"/>
  </r>
  <r>
    <s v="ORD_0020 "/>
    <x v="3"/>
    <x v="2"/>
    <n v="166956"/>
    <n v="0"/>
    <s v=" "/>
    <x v="1"/>
    <x v="4"/>
    <d v="2024-10-15T00:00:00"/>
  </r>
  <r>
    <s v="ORD_0148 "/>
    <x v="6"/>
    <x v="2"/>
    <n v="155532"/>
    <n v="1933313"/>
    <n v="1777781"/>
    <x v="0"/>
    <x v="10"/>
    <d v="2024-11-06T00:00:00"/>
  </r>
  <r>
    <s v="ORD_0308 "/>
    <x v="8"/>
    <x v="1"/>
    <n v="16972"/>
    <n v="360473"/>
    <n v="343501"/>
    <x v="0"/>
    <x v="9"/>
    <d v="2024-11-03T00:00:00"/>
  </r>
  <r>
    <s v="ORD_0252 "/>
    <x v="2"/>
    <x v="3"/>
    <n v="91337"/>
    <n v="1073103"/>
    <n v="981766"/>
    <x v="0"/>
    <x v="10"/>
    <d v="2024-10-04T00:00:00"/>
  </r>
  <r>
    <s v="ORD_0197 "/>
    <x v="0"/>
    <x v="0"/>
    <n v="54558"/>
    <n v="995104"/>
    <n v="940546"/>
    <x v="0"/>
    <x v="3"/>
    <d v="2024-11-01T00:00:00"/>
  </r>
  <r>
    <s v="ORD_0083 "/>
    <x v="9"/>
    <x v="2"/>
    <n v="67251"/>
    <n v="1052035"/>
    <n v="984784"/>
    <x v="0"/>
    <x v="4"/>
    <d v="2024-12-20T00:00:00"/>
  </r>
  <r>
    <s v="ORD_0162 "/>
    <x v="6"/>
    <x v="2"/>
    <n v="67200"/>
    <n v="1612562"/>
    <n v="1545362"/>
    <x v="0"/>
    <x v="6"/>
    <d v="2024-11-09T00:00:00"/>
  </r>
  <r>
    <s v="ORD_0334 "/>
    <x v="4"/>
    <x v="0"/>
    <n v="83074"/>
    <n v="0"/>
    <s v=" "/>
    <x v="1"/>
    <x v="11"/>
    <d v="2024-10-24T00:00:00"/>
  </r>
  <r>
    <s v="ORD_0107 "/>
    <x v="4"/>
    <x v="3"/>
    <n v="24234"/>
    <n v="926936"/>
    <n v="902702"/>
    <x v="0"/>
    <x v="9"/>
    <d v="2024-12-27T00:00:00"/>
  </r>
  <r>
    <s v="ORD_0289 "/>
    <x v="1"/>
    <x v="0"/>
    <n v="126085"/>
    <n v="561231"/>
    <n v="435146"/>
    <x v="0"/>
    <x v="3"/>
    <d v="2024-10-03T00:00:00"/>
  </r>
  <r>
    <s v="ORD_0031 "/>
    <x v="6"/>
    <x v="3"/>
    <n v="87422"/>
    <n v="1436718"/>
    <n v="1349296"/>
    <x v="0"/>
    <x v="12"/>
    <d v="2024-12-20T00:00:00"/>
  </r>
  <r>
    <s v="ORD_0187 "/>
    <x v="6"/>
    <x v="3"/>
    <n v="30597"/>
    <n v="1077051"/>
    <n v="1046454"/>
    <x v="0"/>
    <x v="12"/>
    <d v="2024-12-07T00:00:00"/>
  </r>
  <r>
    <s v="ORD_0331 "/>
    <x v="3"/>
    <x v="3"/>
    <n v="82557"/>
    <n v="1302666"/>
    <n v="1220109"/>
    <x v="0"/>
    <x v="2"/>
    <d v="2024-12-08T00:00:00"/>
  </r>
  <r>
    <s v="ORD_0143 "/>
    <x v="4"/>
    <x v="2"/>
    <n v="58311"/>
    <n v="1746739"/>
    <n v="1688428"/>
    <x v="0"/>
    <x v="6"/>
    <d v="2024-11-12T00:00:00"/>
  </r>
  <r>
    <s v="ORD_0002 "/>
    <x v="5"/>
    <x v="3"/>
    <n v="53272"/>
    <n v="1596681"/>
    <n v="1543409"/>
    <x v="0"/>
    <x v="2"/>
    <d v="2024-10-22T00:00:00"/>
  </r>
  <r>
    <s v="ORD_0326 "/>
    <x v="6"/>
    <x v="2"/>
    <n v="81606"/>
    <n v="288004"/>
    <n v="206398"/>
    <x v="0"/>
    <x v="1"/>
    <d v="2024-11-12T00:00:00"/>
  </r>
  <r>
    <s v="ORD_0273 "/>
    <x v="3"/>
    <x v="0"/>
    <n v="48074"/>
    <n v="338806"/>
    <n v="290732"/>
    <x v="0"/>
    <x v="6"/>
    <d v="2024-10-15T00:00:00"/>
  </r>
  <r>
    <s v="ORD_0067 "/>
    <x v="7"/>
    <x v="0"/>
    <n v="52465"/>
    <n v="802089"/>
    <n v="749624"/>
    <x v="0"/>
    <x v="2"/>
    <d v="2024-10-27T00:00:00"/>
  </r>
  <r>
    <s v="ORD_0014 "/>
    <x v="0"/>
    <x v="1"/>
    <n v="5038"/>
    <n v="446658"/>
    <n v="441620"/>
    <x v="0"/>
    <x v="8"/>
    <d v="2024-11-15T00:00:00"/>
  </r>
  <r>
    <s v="ORD_0294 "/>
    <x v="0"/>
    <x v="1"/>
    <n v="7824"/>
    <n v="1264199"/>
    <n v="1256375"/>
    <x v="0"/>
    <x v="3"/>
    <d v="2024-10-07T00:00:00"/>
  </r>
  <r>
    <s v="ORD_0328 "/>
    <x v="1"/>
    <x v="0"/>
    <n v="110808"/>
    <n v="386222"/>
    <n v="275414"/>
    <x v="0"/>
    <x v="12"/>
    <d v="2024-12-20T00:00:00"/>
  </r>
  <r>
    <s v="ORD_0209 "/>
    <x v="8"/>
    <x v="0"/>
    <n v="124873"/>
    <n v="1396454"/>
    <n v="1271581"/>
    <x v="0"/>
    <x v="4"/>
    <d v="2024-12-07T00:00:00"/>
  </r>
  <r>
    <s v="ORD_0095 "/>
    <x v="2"/>
    <x v="0"/>
    <n v="63220"/>
    <n v="1782419"/>
    <n v="1719199"/>
    <x v="0"/>
    <x v="6"/>
    <d v="2024-11-09T00:00:00"/>
  </r>
  <r>
    <s v="ORD_0338 "/>
    <x v="5"/>
    <x v="0"/>
    <n v="127343"/>
    <n v="1625136"/>
    <n v="1497793"/>
    <x v="0"/>
    <x v="0"/>
    <d v="2024-10-25T00:00:00"/>
  </r>
  <r>
    <s v="ORD_0170 "/>
    <x v="2"/>
    <x v="0"/>
    <n v="148010"/>
    <n v="63473"/>
    <n v="-84537"/>
    <x v="0"/>
    <x v="3"/>
    <d v="2024-12-09T00:00:00"/>
  </r>
  <r>
    <s v="ORD_0003 "/>
    <x v="0"/>
    <x v="0"/>
    <n v="119748"/>
    <n v="216309"/>
    <n v="96561"/>
    <x v="0"/>
    <x v="6"/>
    <d v="2024-12-21T00:00:00"/>
  </r>
  <r>
    <s v="ORD_0027 "/>
    <x v="0"/>
    <x v="1"/>
    <n v="8840"/>
    <n v="1662171"/>
    <n v="1653331"/>
    <x v="0"/>
    <x v="12"/>
    <d v="2024-10-24T00:00:00"/>
  </r>
  <r>
    <s v="ORD_0156 "/>
    <x v="8"/>
    <x v="2"/>
    <n v="160671"/>
    <n v="501263"/>
    <n v="340592"/>
    <x v="0"/>
    <x v="0"/>
    <d v="2024-12-04T00:00:00"/>
  </r>
  <r>
    <s v="ORD_0259 "/>
    <x v="3"/>
    <x v="3"/>
    <n v="44589"/>
    <n v="0"/>
    <s v=" "/>
    <x v="1"/>
    <x v="11"/>
    <d v="2024-12-12T00:00:00"/>
  </r>
  <r>
    <s v="ORD_0192 "/>
    <x v="4"/>
    <x v="0"/>
    <n v="99973"/>
    <n v="0"/>
    <s v=" "/>
    <x v="1"/>
    <x v="11"/>
    <d v="2024-12-23T00:00:00"/>
  </r>
  <r>
    <s v="ORD_0106 "/>
    <x v="7"/>
    <x v="0"/>
    <n v="112655"/>
    <n v="0"/>
    <s v=" "/>
    <x v="1"/>
    <x v="8"/>
    <d v="2024-12-23T00:00:00"/>
  </r>
  <r>
    <s v="ORD_0077 "/>
    <x v="9"/>
    <x v="0"/>
    <n v="53743"/>
    <n v="1543749"/>
    <n v="1490006"/>
    <x v="0"/>
    <x v="9"/>
    <d v="2024-10-11T00:00:00"/>
  </r>
  <r>
    <s v="ORD_0045 "/>
    <x v="4"/>
    <x v="1"/>
    <n v="17838"/>
    <n v="955113"/>
    <n v="937275"/>
    <x v="0"/>
    <x v="8"/>
    <d v="2024-10-03T00:00:00"/>
  </r>
  <r>
    <s v="ORD_0284 "/>
    <x v="7"/>
    <x v="0"/>
    <n v="136783"/>
    <n v="0"/>
    <s v=" "/>
    <x v="1"/>
    <x v="7"/>
    <d v="2024-10-11T00:00:00"/>
  </r>
  <r>
    <s v="ORD_0080 "/>
    <x v="5"/>
    <x v="3"/>
    <n v="62458"/>
    <n v="1884887"/>
    <n v="1822429"/>
    <x v="0"/>
    <x v="8"/>
    <d v="2024-11-25T00:00:00"/>
  </r>
  <r>
    <s v="ORD_0279 "/>
    <x v="9"/>
    <x v="0"/>
    <n v="126243"/>
    <n v="318224"/>
    <n v="191981"/>
    <x v="0"/>
    <x v="9"/>
    <d v="2024-10-09T00:00:00"/>
  </r>
  <r>
    <s v="ORD_0086 "/>
    <x v="1"/>
    <x v="0"/>
    <n v="63330"/>
    <n v="1729898"/>
    <n v="1666568"/>
    <x v="0"/>
    <x v="7"/>
    <d v="2024-10-02T00:00:00"/>
  </r>
  <r>
    <s v="ORD_0044 "/>
    <x v="7"/>
    <x v="2"/>
    <n v="58461"/>
    <n v="0"/>
    <s v=" "/>
    <x v="1"/>
    <x v="8"/>
    <d v="2024-11-28T00:00:00"/>
  </r>
  <r>
    <s v="ORD_0116 "/>
    <x v="2"/>
    <x v="1"/>
    <n v="28649"/>
    <n v="524848"/>
    <n v="496199"/>
    <x v="0"/>
    <x v="1"/>
    <d v="2024-10-09T00:00:00"/>
  </r>
  <r>
    <s v="ORD_0210 "/>
    <x v="7"/>
    <x v="3"/>
    <n v="49330"/>
    <n v="0"/>
    <s v=" "/>
    <x v="1"/>
    <x v="3"/>
    <d v="2024-10-17T00:00:00"/>
  </r>
  <r>
    <s v="ORD_0137 "/>
    <x v="6"/>
    <x v="2"/>
    <n v="80219"/>
    <n v="862604"/>
    <n v="782385"/>
    <x v="0"/>
    <x v="12"/>
    <d v="2024-12-20T00:00:00"/>
  </r>
  <r>
    <s v="ORD_0238 "/>
    <x v="6"/>
    <x v="2"/>
    <n v="110645"/>
    <n v="1137479"/>
    <n v="1026834"/>
    <x v="0"/>
    <x v="6"/>
    <d v="2024-12-02T00:00:00"/>
  </r>
  <r>
    <s v="ORD_0108 "/>
    <x v="9"/>
    <x v="3"/>
    <n v="85682"/>
    <n v="1124647"/>
    <n v="1038965"/>
    <x v="0"/>
    <x v="6"/>
    <d v="2024-10-23T00:00:00"/>
  </r>
  <r>
    <s v="ORD_0337 "/>
    <x v="1"/>
    <x v="0"/>
    <n v="40279"/>
    <n v="852393"/>
    <n v="812114"/>
    <x v="0"/>
    <x v="10"/>
    <d v="2024-10-23T00:00:00"/>
  </r>
  <r>
    <s v="ORD_0237 "/>
    <x v="0"/>
    <x v="3"/>
    <n v="63335"/>
    <n v="861484"/>
    <n v="798149"/>
    <x v="0"/>
    <x v="0"/>
    <d v="2024-11-02T00:00:00"/>
  </r>
  <r>
    <s v="ORD_0260 "/>
    <x v="0"/>
    <x v="2"/>
    <n v="131933"/>
    <n v="629171"/>
    <n v="497238"/>
    <x v="0"/>
    <x v="9"/>
    <d v="2024-12-14T00:00:00"/>
  </r>
  <r>
    <s v="ORD_0081 "/>
    <x v="9"/>
    <x v="1"/>
    <n v="14704"/>
    <n v="1594757"/>
    <n v="1580053"/>
    <x v="0"/>
    <x v="1"/>
    <d v="2024-10-05T00:00:00"/>
  </r>
  <r>
    <s v="ORD_0155 "/>
    <x v="4"/>
    <x v="1"/>
    <n v="10225"/>
    <n v="0"/>
    <s v=" "/>
    <x v="1"/>
    <x v="1"/>
    <d v="2024-10-17T00:00:00"/>
  </r>
  <r>
    <s v="ORD_0011 "/>
    <x v="0"/>
    <x v="0"/>
    <n v="123825"/>
    <n v="868461"/>
    <n v="744636"/>
    <x v="0"/>
    <x v="3"/>
    <d v="2024-10-18T00:00:00"/>
  </r>
  <r>
    <s v="ORD_0219 "/>
    <x v="9"/>
    <x v="0"/>
    <n v="145799"/>
    <n v="793863"/>
    <n v="648064"/>
    <x v="0"/>
    <x v="4"/>
    <d v="2024-12-20T00:00:00"/>
  </r>
  <r>
    <s v="ORD_0037 "/>
    <x v="3"/>
    <x v="0"/>
    <n v="35321"/>
    <n v="1628834"/>
    <n v="1593513"/>
    <x v="0"/>
    <x v="5"/>
    <d v="2024-11-07T00:00:00"/>
  </r>
  <r>
    <s v="ORD_0320 "/>
    <x v="3"/>
    <x v="3"/>
    <n v="29282"/>
    <n v="1492638"/>
    <n v="1463356"/>
    <x v="0"/>
    <x v="10"/>
    <d v="2024-11-19T00:00:00"/>
  </r>
  <r>
    <s v="ORD_0040 "/>
    <x v="2"/>
    <x v="0"/>
    <n v="144606"/>
    <n v="490364"/>
    <n v="345758"/>
    <x v="0"/>
    <x v="6"/>
    <d v="2024-11-02T00:00:00"/>
  </r>
  <r>
    <s v="ORD_0108 "/>
    <x v="9"/>
    <x v="3"/>
    <n v="85682"/>
    <n v="1124647"/>
    <n v="1038965"/>
    <x v="0"/>
    <x v="6"/>
    <d v="2024-10-23T00:00:00"/>
  </r>
  <r>
    <s v="ORD_0332 "/>
    <x v="1"/>
    <x v="3"/>
    <n v="80820"/>
    <n v="23944"/>
    <n v="-56876"/>
    <x v="0"/>
    <x v="9"/>
    <d v="2024-10-27T00:00:00"/>
  </r>
  <r>
    <s v="ORD_0104 "/>
    <x v="4"/>
    <x v="3"/>
    <n v="68511"/>
    <n v="1477550"/>
    <n v="1409039"/>
    <x v="0"/>
    <x v="11"/>
    <d v="2024-10-02T00:00:00"/>
  </r>
  <r>
    <s v="ORD_0021 "/>
    <x v="5"/>
    <x v="3"/>
    <n v="38104"/>
    <n v="1921763"/>
    <n v="1883659"/>
    <x v="0"/>
    <x v="12"/>
    <d v="2024-12-28T00:00:00"/>
  </r>
  <r>
    <s v="ORD_0134 "/>
    <x v="7"/>
    <x v="3"/>
    <n v="37481"/>
    <n v="0"/>
    <s v=" "/>
    <x v="1"/>
    <x v="6"/>
    <d v="2024-12-06T00:00:00"/>
  </r>
  <r>
    <s v="ORD_0175 "/>
    <x v="4"/>
    <x v="2"/>
    <n v="55584"/>
    <n v="0"/>
    <s v=" "/>
    <x v="1"/>
    <x v="10"/>
    <d v="2024-10-21T00:00:00"/>
  </r>
  <r>
    <s v="ORD_0006 "/>
    <x v="2"/>
    <x v="3"/>
    <n v="63897"/>
    <n v="0"/>
    <s v=" "/>
    <x v="1"/>
    <x v="9"/>
    <d v="2024-11-01T00:00:00"/>
  </r>
  <r>
    <s v="ORD_0240 "/>
    <x v="2"/>
    <x v="0"/>
    <n v="128951"/>
    <n v="1536302"/>
    <n v="1407351"/>
    <x v="0"/>
    <x v="10"/>
    <d v="2024-10-05T00:00:00"/>
  </r>
  <r>
    <s v="ORD_0261 "/>
    <x v="2"/>
    <x v="0"/>
    <n v="45618"/>
    <n v="1896831"/>
    <n v="1851213"/>
    <x v="0"/>
    <x v="4"/>
    <d v="2024-10-31T00:00:00"/>
  </r>
  <r>
    <s v="ORD_0226 "/>
    <x v="8"/>
    <x v="0"/>
    <n v="66337"/>
    <n v="1400771"/>
    <n v="1334434"/>
    <x v="0"/>
    <x v="4"/>
    <d v="2024-11-07T00:00:00"/>
  </r>
  <r>
    <s v="ORD_0218 "/>
    <x v="9"/>
    <x v="3"/>
    <n v="64220"/>
    <n v="955691"/>
    <n v="891471"/>
    <x v="0"/>
    <x v="2"/>
    <d v="2024-11-05T00:00:00"/>
  </r>
  <r>
    <s v="ORD_0178 "/>
    <x v="1"/>
    <x v="3"/>
    <n v="98625"/>
    <n v="285833"/>
    <n v="187208"/>
    <x v="0"/>
    <x v="10"/>
    <d v="2024-11-14T00:00:00"/>
  </r>
  <r>
    <s v="ORD_0236 "/>
    <x v="3"/>
    <x v="2"/>
    <n v="71331"/>
    <n v="0"/>
    <s v=" "/>
    <x v="1"/>
    <x v="7"/>
    <d v="2024-11-03T00:00:00"/>
  </r>
  <r>
    <s v="ORD_0179 "/>
    <x v="4"/>
    <x v="1"/>
    <n v="18059"/>
    <n v="202208"/>
    <n v="184149"/>
    <x v="0"/>
    <x v="1"/>
    <d v="2024-11-27T00:00:00"/>
  </r>
  <r>
    <s v="ORD_0034 "/>
    <x v="2"/>
    <x v="3"/>
    <n v="93129"/>
    <n v="1391121"/>
    <n v="1297992"/>
    <x v="0"/>
    <x v="6"/>
    <d v="2024-10-18T00:00:00"/>
  </r>
  <r>
    <s v="ORD_0176 "/>
    <x v="9"/>
    <x v="1"/>
    <n v="13800"/>
    <n v="28223"/>
    <n v="14423"/>
    <x v="0"/>
    <x v="2"/>
    <d v="2024-10-22T00:00:00"/>
  </r>
  <r>
    <s v="ORD_0082 "/>
    <x v="8"/>
    <x v="1"/>
    <n v="21161"/>
    <n v="1074093"/>
    <n v="1052932"/>
    <x v="0"/>
    <x v="2"/>
    <d v="2024-11-11T00:00:00"/>
  </r>
  <r>
    <s v="ORD_0041 "/>
    <x v="9"/>
    <x v="2"/>
    <n v="148057"/>
    <n v="0"/>
    <s v=" "/>
    <x v="1"/>
    <x v="1"/>
    <d v="2024-11-12T00:00:00"/>
  </r>
  <r>
    <s v="ORD_0198 "/>
    <x v="2"/>
    <x v="0"/>
    <n v="148470"/>
    <n v="1345680"/>
    <n v="1197210"/>
    <x v="0"/>
    <x v="1"/>
    <d v="2024-10-19T00:00:00"/>
  </r>
  <r>
    <s v="ORD_0120 "/>
    <x v="9"/>
    <x v="0"/>
    <n v="112085"/>
    <n v="1148538"/>
    <n v="1036453"/>
    <x v="0"/>
    <x v="8"/>
    <d v="2024-10-14T00:00:00"/>
  </r>
  <r>
    <s v="ORD_0101 "/>
    <x v="6"/>
    <x v="3"/>
    <n v="83883"/>
    <n v="0"/>
    <s v=" "/>
    <x v="1"/>
    <x v="8"/>
    <d v="2024-10-07T00:00:00"/>
  </r>
  <r>
    <s v="ORD_0017 "/>
    <x v="0"/>
    <x v="0"/>
    <n v="34825"/>
    <n v="1413655"/>
    <n v="1378830"/>
    <x v="0"/>
    <x v="7"/>
    <d v="2024-10-10T00:00:00"/>
  </r>
  <r>
    <s v="ORD_0026 "/>
    <x v="1"/>
    <x v="0"/>
    <n v="46713"/>
    <n v="0"/>
    <s v=" "/>
    <x v="1"/>
    <x v="3"/>
    <d v="2024-12-01T00:00:00"/>
  </r>
  <r>
    <s v="ORD_0171 "/>
    <x v="5"/>
    <x v="0"/>
    <n v="112664"/>
    <n v="0"/>
    <s v=" "/>
    <x v="1"/>
    <x v="7"/>
    <d v="2024-12-21T00:00:00"/>
  </r>
  <r>
    <s v="ORD_0092 "/>
    <x v="7"/>
    <x v="3"/>
    <n v="33832"/>
    <n v="0"/>
    <s v=" "/>
    <x v="1"/>
    <x v="6"/>
    <d v="2024-11-27T00:00:00"/>
  </r>
  <r>
    <s v="ORD_0133 "/>
    <x v="7"/>
    <x v="2"/>
    <n v="135000"/>
    <n v="990274"/>
    <n v="855274"/>
    <x v="0"/>
    <x v="0"/>
    <d v="2024-10-25T00:00:00"/>
  </r>
  <r>
    <s v="ORD_0135 "/>
    <x v="9"/>
    <x v="1"/>
    <n v="8302"/>
    <n v="1770352"/>
    <n v="1762050"/>
    <x v="0"/>
    <x v="5"/>
    <d v="2024-12-13T00:00:00"/>
  </r>
  <r>
    <s v="ORD_0201 "/>
    <x v="6"/>
    <x v="1"/>
    <n v="5638"/>
    <n v="835303"/>
    <n v="829665"/>
    <x v="0"/>
    <x v="13"/>
    <d v="2024-11-24T00:00:00"/>
  </r>
  <r>
    <s v="ORD_0096 "/>
    <x v="8"/>
    <x v="1"/>
    <n v="17560"/>
    <n v="361285"/>
    <n v="343725"/>
    <x v="0"/>
    <x v="0"/>
    <d v="2024-12-30T00:00:00"/>
  </r>
  <r>
    <s v="ORD_0251 "/>
    <x v="1"/>
    <x v="0"/>
    <n v="30003"/>
    <n v="1446522"/>
    <n v="1416519"/>
    <x v="0"/>
    <x v="2"/>
    <d v="2024-12-13T00:00:00"/>
  </r>
  <r>
    <s v="ORD_0228 "/>
    <x v="7"/>
    <x v="3"/>
    <n v="72219"/>
    <n v="764972"/>
    <n v="692753"/>
    <x v="0"/>
    <x v="0"/>
    <d v="2024-11-12T00:00:00"/>
  </r>
  <r>
    <s v="ORD_0194 "/>
    <x v="7"/>
    <x v="3"/>
    <n v="99126"/>
    <n v="1883899"/>
    <n v="1784773"/>
    <x v="0"/>
    <x v="5"/>
    <d v="2024-12-14T00:00:00"/>
  </r>
  <r>
    <s v="ORD_0196 "/>
    <x v="2"/>
    <x v="0"/>
    <n v="132965"/>
    <n v="1285621"/>
    <n v="1152656"/>
    <x v="0"/>
    <x v="3"/>
    <d v="2024-11-23T00:00:00"/>
  </r>
  <r>
    <s v="ORD_0199 "/>
    <x v="0"/>
    <x v="2"/>
    <n v="108781"/>
    <n v="360818"/>
    <n v="252037"/>
    <x v="0"/>
    <x v="7"/>
    <d v="2024-12-22T00:00:00"/>
  </r>
  <r>
    <s v="ORD_0070 "/>
    <x v="8"/>
    <x v="1"/>
    <n v="23835"/>
    <n v="1718464"/>
    <n v="1694629"/>
    <x v="0"/>
    <x v="7"/>
    <d v="2024-11-30T00:00:00"/>
  </r>
  <r>
    <s v="ORD_0010 "/>
    <x v="1"/>
    <x v="0"/>
    <n v="93090"/>
    <n v="700434"/>
    <n v="607344"/>
    <x v="0"/>
    <x v="12"/>
    <d v="2024-11-30T00:00:00"/>
  </r>
  <r>
    <s v="ORD_0180 "/>
    <x v="3"/>
    <x v="3"/>
    <n v="21499"/>
    <n v="1809914"/>
    <n v="1788415"/>
    <x v="0"/>
    <x v="11"/>
    <d v="2024-12-06T00:00:00"/>
  </r>
  <r>
    <s v="ORD_0181 "/>
    <x v="9"/>
    <x v="3"/>
    <n v="46817"/>
    <n v="1280005"/>
    <n v="1233188"/>
    <x v="0"/>
    <x v="0"/>
    <d v="2024-12-25T00:00:00"/>
  </r>
  <r>
    <s v="ORD_0195 "/>
    <x v="3"/>
    <x v="0"/>
    <n v="127122"/>
    <n v="1969583"/>
    <n v="1842461"/>
    <x v="0"/>
    <x v="9"/>
    <d v="2024-12-12T00:00:00"/>
  </r>
  <r>
    <s v="ORD_0160 "/>
    <x v="0"/>
    <x v="2"/>
    <n v="115111"/>
    <n v="200078"/>
    <n v="84967"/>
    <x v="0"/>
    <x v="11"/>
    <d v="2024-10-02T00:00:00"/>
  </r>
  <r>
    <s v="ORD_0028 "/>
    <x v="5"/>
    <x v="0"/>
    <n v="139642"/>
    <n v="615462"/>
    <n v="475820"/>
    <x v="0"/>
    <x v="3"/>
    <d v="2024-12-25T00:00:00"/>
  </r>
  <r>
    <s v="ORD_0016 "/>
    <x v="7"/>
    <x v="3"/>
    <n v="35539"/>
    <n v="0"/>
    <s v=" "/>
    <x v="1"/>
    <x v="8"/>
    <d v="2024-12-16T00:00:00"/>
  </r>
  <r>
    <s v="ORD_0177 "/>
    <x v="3"/>
    <x v="3"/>
    <n v="33221"/>
    <n v="707984"/>
    <n v="674763"/>
    <x v="0"/>
    <x v="1"/>
    <d v="2024-10-10T00:00:00"/>
  </r>
  <r>
    <s v="ORD_0321 "/>
    <x v="0"/>
    <x v="2"/>
    <n v="66568"/>
    <n v="1309608"/>
    <n v="1243040"/>
    <x v="0"/>
    <x v="2"/>
    <d v="2024-10-20T00:00:00"/>
  </r>
  <r>
    <s v="ORD_0247 "/>
    <x v="8"/>
    <x v="1"/>
    <n v="6070"/>
    <n v="0"/>
    <s v=" "/>
    <x v="1"/>
    <x v="5"/>
    <d v="2024-11-14T00:00:00"/>
  </r>
  <r>
    <s v="ORD_0324 "/>
    <x v="3"/>
    <x v="3"/>
    <n v="83236"/>
    <n v="1995287"/>
    <n v="1912051"/>
    <x v="0"/>
    <x v="8"/>
    <d v="2024-11-19T00:00:00"/>
  </r>
  <r>
    <s v="ORD_0089 "/>
    <x v="5"/>
    <x v="0"/>
    <n v="105276"/>
    <n v="1854771"/>
    <n v="1749495"/>
    <x v="0"/>
    <x v="12"/>
    <d v="2024-10-11T00:00:00"/>
  </r>
  <r>
    <s v="ORD_0105 "/>
    <x v="0"/>
    <x v="0"/>
    <n v="115559"/>
    <n v="1914142"/>
    <n v="1798583"/>
    <x v="0"/>
    <x v="0"/>
    <d v="2024-12-05T00:00:00"/>
  </r>
  <r>
    <s v="ORD_0145 "/>
    <x v="5"/>
    <x v="0"/>
    <n v="107170"/>
    <n v="1782612"/>
    <n v="1675442"/>
    <x v="0"/>
    <x v="8"/>
    <d v="2024-12-14T00:00:00"/>
  </r>
  <r>
    <s v="ORD_0230 "/>
    <x v="7"/>
    <x v="1"/>
    <n v="9570"/>
    <n v="1552603"/>
    <n v="1543033"/>
    <x v="0"/>
    <x v="12"/>
    <d v="2024-10-08T00:00:00"/>
  </r>
  <r>
    <s v="ORD_0074 "/>
    <x v="1"/>
    <x v="0"/>
    <n v="148131"/>
    <n v="1906149"/>
    <n v="1758018"/>
    <x v="0"/>
    <x v="1"/>
    <d v="2024-12-04T00:00:00"/>
  </r>
  <r>
    <s v="ORD_0084 "/>
    <x v="1"/>
    <x v="0"/>
    <n v="50833"/>
    <n v="1484034"/>
    <n v="1433201"/>
    <x v="0"/>
    <x v="11"/>
    <d v="2024-10-19T00:00:00"/>
  </r>
  <r>
    <s v="ORD_0085 "/>
    <x v="4"/>
    <x v="3"/>
    <n v="91392"/>
    <n v="0"/>
    <s v=" "/>
    <x v="1"/>
    <x v="6"/>
    <d v="2024-12-25T00:00:00"/>
  </r>
  <r>
    <s v="ORD_0023 "/>
    <x v="1"/>
    <x v="1"/>
    <n v="18307"/>
    <n v="588406"/>
    <n v="570099"/>
    <x v="0"/>
    <x v="13"/>
    <d v="2024-10-25T00:00:00"/>
  </r>
  <r>
    <s v="ORD_0329 "/>
    <x v="7"/>
    <x v="3"/>
    <n v="97091"/>
    <n v="960082"/>
    <n v="862991"/>
    <x v="0"/>
    <x v="12"/>
    <d v="2024-12-30T00:00:00"/>
  </r>
  <r>
    <s v="ORD_0310 "/>
    <x v="1"/>
    <x v="1"/>
    <n v="9503"/>
    <n v="1935484"/>
    <n v="1925981"/>
    <x v="0"/>
    <x v="5"/>
    <d v="2024-12-07T00:00:00"/>
  </r>
  <r>
    <s v="ORD_0183 "/>
    <x v="6"/>
    <x v="0"/>
    <n v="130105"/>
    <n v="1440255"/>
    <n v="1310150"/>
    <x v="0"/>
    <x v="6"/>
    <d v="2024-11-24T00:00:00"/>
  </r>
  <r>
    <s v="ORD_0093 "/>
    <x v="1"/>
    <x v="3"/>
    <n v="89897"/>
    <n v="1738265"/>
    <n v="1648368"/>
    <x v="0"/>
    <x v="1"/>
    <d v="2024-10-23T00:00:00"/>
  </r>
  <r>
    <s v="ORD_0155 "/>
    <x v="4"/>
    <x v="1"/>
    <n v="10225"/>
    <n v="0"/>
    <s v=" "/>
    <x v="1"/>
    <x v="4"/>
    <d v="2024-10-17T00:00:00"/>
  </r>
  <r>
    <s v="ORD_0298 "/>
    <x v="7"/>
    <x v="3"/>
    <n v="40768"/>
    <n v="1031882"/>
    <n v="991114"/>
    <x v="0"/>
    <x v="2"/>
    <d v="2024-11-05T00:00:00"/>
  </r>
  <r>
    <s v="ORD_0315 "/>
    <x v="1"/>
    <x v="3"/>
    <n v="36811"/>
    <n v="0"/>
    <s v=" "/>
    <x v="1"/>
    <x v="0"/>
    <d v="2024-11-11T00:00:00"/>
  </r>
  <r>
    <s v="ORD_0318 "/>
    <x v="0"/>
    <x v="3"/>
    <n v="91317"/>
    <n v="1489257"/>
    <n v="1397940"/>
    <x v="0"/>
    <x v="6"/>
    <d v="2024-12-10T00:00:00"/>
  </r>
  <r>
    <s v="ORD_0322 "/>
    <x v="8"/>
    <x v="0"/>
    <n v="139536"/>
    <n v="0"/>
    <s v=" "/>
    <x v="1"/>
    <x v="0"/>
    <d v="2024-10-21T00:00:00"/>
  </r>
  <r>
    <s v="ORD_0235 "/>
    <x v="6"/>
    <x v="2"/>
    <n v="170178"/>
    <n v="1345426"/>
    <n v="1175248"/>
    <x v="0"/>
    <x v="11"/>
    <d v="2024-12-11T00:00:00"/>
  </r>
  <r>
    <s v="ORD_0317 "/>
    <x v="9"/>
    <x v="2"/>
    <n v="191182"/>
    <n v="1814327"/>
    <n v="1623145"/>
    <x v="0"/>
    <x v="1"/>
    <d v="2024-12-27T00:00:00"/>
  </r>
  <r>
    <s v="ORD_0213 "/>
    <x v="1"/>
    <x v="1"/>
    <n v="26439"/>
    <n v="538019"/>
    <n v="511580"/>
    <x v="0"/>
    <x v="7"/>
    <d v="2024-10-20T00:00:00"/>
  </r>
  <r>
    <s v="ORD_0047 "/>
    <x v="4"/>
    <x v="1"/>
    <n v="8507"/>
    <n v="1751370"/>
    <n v="1742863"/>
    <x v="0"/>
    <x v="12"/>
    <d v="2024-12-01T00:00:00"/>
  </r>
  <r>
    <s v="ORD_0174 "/>
    <x v="0"/>
    <x v="0"/>
    <n v="100123"/>
    <n v="1928024"/>
    <n v="1827901"/>
    <x v="0"/>
    <x v="9"/>
    <d v="2024-12-02T00:00:00"/>
  </r>
  <r>
    <s v="ORD_0311 "/>
    <x v="3"/>
    <x v="1"/>
    <n v="28613"/>
    <n v="1649653"/>
    <n v="1621040"/>
    <x v="0"/>
    <x v="8"/>
    <d v="2024-10-01T00:00:00"/>
  </r>
  <r>
    <s v="ORD_0250 "/>
    <x v="8"/>
    <x v="3"/>
    <n v="30651"/>
    <n v="1716258"/>
    <n v="1685607"/>
    <x v="0"/>
    <x v="3"/>
    <d v="2024-10-08T00:00:00"/>
  </r>
  <r>
    <s v="ORD_0234 "/>
    <x v="7"/>
    <x v="0"/>
    <n v="99184"/>
    <n v="226994"/>
    <n v="127810"/>
    <x v="0"/>
    <x v="1"/>
    <d v="2024-12-20T00:00:00"/>
  </r>
  <r>
    <s v="ORD_0281 "/>
    <x v="3"/>
    <x v="2"/>
    <n v="194978"/>
    <n v="1468739"/>
    <n v="1273761"/>
    <x v="0"/>
    <x v="7"/>
    <d v="2024-10-16T00:00:00"/>
  </r>
  <r>
    <s v="ORD_0068 "/>
    <x v="6"/>
    <x v="0"/>
    <n v="87898"/>
    <n v="780723"/>
    <n v="692825"/>
    <x v="0"/>
    <x v="5"/>
    <d v="2024-11-28T00:00:00"/>
  </r>
  <r>
    <s v="ORD_0018 "/>
    <x v="1"/>
    <x v="2"/>
    <n v="108143"/>
    <n v="1573478"/>
    <n v="1465335"/>
    <x v="0"/>
    <x v="13"/>
    <d v="2024-11-22T00:00:00"/>
  </r>
  <r>
    <s v="ORD_0008 "/>
    <x v="1"/>
    <x v="0"/>
    <n v="107832"/>
    <n v="1895693"/>
    <n v="1787861"/>
    <x v="0"/>
    <x v="13"/>
    <d v="2024-12-30T00:00:00"/>
  </r>
  <r>
    <s v="ORD_0190 "/>
    <x v="0"/>
    <x v="1"/>
    <n v="17287"/>
    <n v="0"/>
    <s v=" "/>
    <x v="1"/>
    <x v="5"/>
    <d v="2024-12-30T00:00:00"/>
  </r>
  <r>
    <s v="ORD_0149 "/>
    <x v="1"/>
    <x v="2"/>
    <n v="90885"/>
    <n v="1598311"/>
    <n v="1507426"/>
    <x v="0"/>
    <x v="4"/>
    <d v="2024-11-19T00:00:00"/>
  </r>
  <r>
    <s v="ORD_0130 "/>
    <x v="7"/>
    <x v="2"/>
    <n v="113113"/>
    <n v="1083808"/>
    <n v="970695"/>
    <x v="0"/>
    <x v="0"/>
    <d v="2024-11-06T00:00:00"/>
  </r>
  <r>
    <s v="ORD_0001 "/>
    <x v="9"/>
    <x v="2"/>
    <n v="95406"/>
    <n v="925695"/>
    <n v="830289"/>
    <x v="0"/>
    <x v="2"/>
    <d v="2024-12-11T00:00:00"/>
  </r>
  <r>
    <s v="ORD_0146 "/>
    <x v="7"/>
    <x v="0"/>
    <n v="106923"/>
    <n v="901076"/>
    <n v="794153"/>
    <x v="0"/>
    <x v="8"/>
    <d v="2024-11-14T00:00:00"/>
  </r>
  <r>
    <s v="ORD_0335 "/>
    <x v="3"/>
    <x v="2"/>
    <n v="82337"/>
    <n v="0"/>
    <s v=" "/>
    <x v="1"/>
    <x v="13"/>
    <d v="2024-10-07T00:00:00"/>
  </r>
  <r>
    <s v="ORD_0316 "/>
    <x v="3"/>
    <x v="0"/>
    <n v="116281"/>
    <n v="833056"/>
    <n v="716775"/>
    <x v="0"/>
    <x v="0"/>
    <d v="2024-12-30T00:00:00"/>
  </r>
  <r>
    <s v="ORD_0033 "/>
    <x v="4"/>
    <x v="2"/>
    <n v="51398"/>
    <n v="0"/>
    <s v=" "/>
    <x v="1"/>
    <x v="12"/>
    <d v="2024-12-14T00:00:00"/>
  </r>
  <r>
    <s v="ORD_0282 "/>
    <x v="3"/>
    <x v="1"/>
    <n v="5715"/>
    <n v="0"/>
    <s v=" "/>
    <x v="1"/>
    <x v="2"/>
    <d v="2024-12-03T00:00:00"/>
  </r>
  <r>
    <s v="ORD_0220 "/>
    <x v="2"/>
    <x v="0"/>
    <n v="77594"/>
    <n v="0"/>
    <s v=" "/>
    <x v="1"/>
    <x v="3"/>
    <d v="2024-11-14T00:00:00"/>
  </r>
  <r>
    <s v="ORD_0292 "/>
    <x v="2"/>
    <x v="1"/>
    <n v="8237"/>
    <n v="75578"/>
    <n v="67341"/>
    <x v="0"/>
    <x v="6"/>
    <d v="2024-12-17T00:00:00"/>
  </r>
  <r>
    <s v="ORD_0002 "/>
    <x v="5"/>
    <x v="3"/>
    <n v="53272"/>
    <n v="1596681"/>
    <n v="1543409"/>
    <x v="0"/>
    <x v="0"/>
    <d v="2024-10-22T00:00:00"/>
  </r>
  <r>
    <s v="ORD_0135 "/>
    <x v="9"/>
    <x v="1"/>
    <n v="8302"/>
    <n v="1770352"/>
    <n v="1762050"/>
    <x v="0"/>
    <x v="5"/>
    <d v="2024-12-13T00:00:00"/>
  </r>
  <r>
    <s v="ORD_0287 "/>
    <x v="7"/>
    <x v="3"/>
    <n v="32847"/>
    <n v="841383"/>
    <n v="808536"/>
    <x v="0"/>
    <x v="10"/>
    <d v="2024-11-19T00:00:00"/>
  </r>
  <r>
    <s v="ORD_0325 "/>
    <x v="4"/>
    <x v="0"/>
    <n v="40822"/>
    <n v="1338799"/>
    <n v="1297977"/>
    <x v="0"/>
    <x v="10"/>
    <d v="2024-11-01T00:00:00"/>
  </r>
  <r>
    <s v="ORD_0113 "/>
    <x v="6"/>
    <x v="2"/>
    <n v="74309"/>
    <n v="1814823"/>
    <n v="1740514"/>
    <x v="0"/>
    <x v="9"/>
    <d v="2024-11-01T00:00:00"/>
  </r>
  <r>
    <s v="ORD_0289 "/>
    <x v="1"/>
    <x v="0"/>
    <n v="126085"/>
    <n v="561231"/>
    <n v="435146"/>
    <x v="0"/>
    <x v="12"/>
    <d v="2024-10-03T00:00:00"/>
  </r>
  <r>
    <s v="ORD_0172 "/>
    <x v="9"/>
    <x v="0"/>
    <n v="53135"/>
    <n v="1358835"/>
    <n v="1305700"/>
    <x v="0"/>
    <x v="8"/>
    <d v="2024-12-04T00:00:00"/>
  </r>
  <r>
    <s v="ORD_0049 "/>
    <x v="0"/>
    <x v="1"/>
    <n v="6021"/>
    <n v="0"/>
    <s v=" "/>
    <x v="1"/>
    <x v="0"/>
    <d v="2024-10-10T00:00:00"/>
  </r>
  <r>
    <s v="ORD_0319 "/>
    <x v="5"/>
    <x v="2"/>
    <n v="131850"/>
    <n v="1467079"/>
    <n v="1335229"/>
    <x v="0"/>
    <x v="12"/>
    <d v="2024-12-13T00:00:00"/>
  </r>
  <r>
    <s v="ORD_0128 "/>
    <x v="0"/>
    <x v="1"/>
    <n v="16276"/>
    <n v="0"/>
    <s v=" "/>
    <x v="1"/>
    <x v="5"/>
    <d v="2024-12-02T00:00:00"/>
  </r>
  <r>
    <s v="ORD_0005 "/>
    <x v="9"/>
    <x v="1"/>
    <n v="7391"/>
    <n v="1742930"/>
    <n v="1735539"/>
    <x v="0"/>
    <x v="0"/>
    <d v="2024-11-22T00:00:00"/>
  </r>
  <r>
    <s v="ORD_0001 "/>
    <x v="9"/>
    <x v="2"/>
    <n v="95406"/>
    <n v="925695"/>
    <n v="830289"/>
    <x v="0"/>
    <x v="12"/>
    <d v="2024-12-11T00:00:00"/>
  </r>
  <r>
    <s v="ORD_0330 "/>
    <x v="5"/>
    <x v="3"/>
    <n v="20934"/>
    <n v="687972"/>
    <n v="667038"/>
    <x v="0"/>
    <x v="2"/>
    <d v="2024-12-03T00:00:00"/>
  </r>
  <r>
    <s v="ORD_0266 "/>
    <x v="2"/>
    <x v="3"/>
    <n v="99611"/>
    <n v="1439817"/>
    <n v="1340206"/>
    <x v="0"/>
    <x v="6"/>
    <d v="2024-11-16T00:00:00"/>
  </r>
  <r>
    <s v="ORD_0242 "/>
    <x v="1"/>
    <x v="0"/>
    <n v="38307"/>
    <n v="1767526"/>
    <n v="1729219"/>
    <x v="0"/>
    <x v="2"/>
    <d v="2024-10-21T00:00:00"/>
  </r>
  <r>
    <s v="ORD_0339 "/>
    <x v="2"/>
    <x v="3"/>
    <n v="71417"/>
    <n v="1794644"/>
    <n v="1723227"/>
    <x v="0"/>
    <x v="10"/>
    <d v="2024-11-12T00:00:00"/>
  </r>
  <r>
    <s v="ORD_0241 "/>
    <x v="4"/>
    <x v="2"/>
    <n v="60339"/>
    <n v="853593"/>
    <n v="793254"/>
    <x v="0"/>
    <x v="8"/>
    <d v="2024-10-28T00:00:00"/>
  </r>
  <r>
    <s v="ORD_0140 "/>
    <x v="5"/>
    <x v="0"/>
    <n v="35250"/>
    <n v="1109008"/>
    <n v="1073758"/>
    <x v="0"/>
    <x v="7"/>
    <d v="2024-10-12T00:00:00"/>
  </r>
  <r>
    <s v="ORD_0336 "/>
    <x v="4"/>
    <x v="1"/>
    <n v="24490"/>
    <n v="0"/>
    <s v=" "/>
    <x v="1"/>
    <x v="11"/>
    <d v="2024-11-29T00:00:00"/>
  </r>
  <r>
    <s v="ORD_0032 "/>
    <x v="2"/>
    <x v="3"/>
    <n v="81352"/>
    <n v="1075762"/>
    <n v="994410"/>
    <x v="0"/>
    <x v="5"/>
    <d v="2024-12-27T00:00:00"/>
  </r>
  <r>
    <s v="ORD_0050 "/>
    <x v="9"/>
    <x v="3"/>
    <n v="63060"/>
    <n v="517047"/>
    <n v="453987"/>
    <x v="0"/>
    <x v="7"/>
    <d v="2024-11-24T00:00:00"/>
  </r>
  <r>
    <s v="ORD_0214 "/>
    <x v="4"/>
    <x v="0"/>
    <n v="107758"/>
    <n v="264042"/>
    <n v="156284"/>
    <x v="0"/>
    <x v="6"/>
    <d v="2024-12-01T00:00:00"/>
  </r>
  <r>
    <s v="ORD_0269 "/>
    <x v="8"/>
    <x v="1"/>
    <n v="9237"/>
    <n v="614383"/>
    <n v="605146"/>
    <x v="0"/>
    <x v="0"/>
    <d v="2024-10-24T00:00:00"/>
  </r>
  <r>
    <s v="ORD_0152 "/>
    <x v="4"/>
    <x v="1"/>
    <n v="9637"/>
    <n v="1088787"/>
    <n v="1079150"/>
    <x v="0"/>
    <x v="2"/>
    <d v="2024-12-10T00:00:00"/>
  </r>
  <r>
    <s v="ORD_0088 "/>
    <x v="3"/>
    <x v="0"/>
    <n v="136813"/>
    <n v="223484"/>
    <n v="86671"/>
    <x v="0"/>
    <x v="2"/>
    <d v="2024-11-15T00:00:00"/>
  </r>
  <r>
    <s v="ORD_0132 "/>
    <x v="4"/>
    <x v="1"/>
    <n v="18995"/>
    <n v="1503984"/>
    <n v="1484989"/>
    <x v="0"/>
    <x v="0"/>
    <d v="2024-11-13T00:00:00"/>
  </r>
  <r>
    <s v="ORD_0333 "/>
    <x v="9"/>
    <x v="1"/>
    <n v="13113"/>
    <n v="0"/>
    <s v=" "/>
    <x v="1"/>
    <x v="8"/>
    <d v="2024-12-13T00:00:00"/>
  </r>
  <r>
    <s v="ORD_0125 "/>
    <x v="2"/>
    <x v="3"/>
    <n v="79249"/>
    <n v="998241"/>
    <n v="918992"/>
    <x v="0"/>
    <x v="2"/>
    <d v="2024-10-11T00:00:00"/>
  </r>
  <r>
    <s v="ORD_0228 "/>
    <x v="7"/>
    <x v="3"/>
    <n v="72219"/>
    <n v="764972"/>
    <n v="692753"/>
    <x v="0"/>
    <x v="0"/>
    <d v="2024-11-12T00:00:00"/>
  </r>
  <r>
    <s v="ORD_0030 "/>
    <x v="5"/>
    <x v="2"/>
    <n v="115683"/>
    <n v="702783"/>
    <n v="587100"/>
    <x v="0"/>
    <x v="12"/>
    <d v="2024-12-12T00:00:00"/>
  </r>
  <r>
    <s v="ORD_0255 "/>
    <x v="3"/>
    <x v="0"/>
    <n v="125394"/>
    <n v="981862"/>
    <n v="856468"/>
    <x v="0"/>
    <x v="3"/>
    <d v="2024-12-05T00:00:00"/>
  </r>
  <r>
    <s v="ORD_0267 "/>
    <x v="4"/>
    <x v="0"/>
    <n v="58790"/>
    <n v="1561327"/>
    <n v="1502537"/>
    <x v="0"/>
    <x v="5"/>
    <d v="2024-12-18T00:00:00"/>
  </r>
  <r>
    <s v="ORD_0154 "/>
    <x v="7"/>
    <x v="3"/>
    <n v="89989"/>
    <n v="1386700"/>
    <n v="1296711"/>
    <x v="0"/>
    <x v="9"/>
    <d v="2024-11-23T00:00:00"/>
  </r>
  <r>
    <s v="ORD_0073 "/>
    <x v="5"/>
    <x v="0"/>
    <n v="100778"/>
    <n v="1671818"/>
    <n v="1571040"/>
    <x v="0"/>
    <x v="11"/>
    <d v="2024-10-06T00:00:00"/>
  </r>
  <r>
    <s v="ORD_0256 "/>
    <x v="9"/>
    <x v="2"/>
    <n v="170531"/>
    <n v="1618216"/>
    <n v="1447685"/>
    <x v="0"/>
    <x v="4"/>
    <d v="2024-12-25T00:00:00"/>
  </r>
  <r>
    <s v="ORD_0142 "/>
    <x v="3"/>
    <x v="3"/>
    <n v="74017"/>
    <n v="1367827"/>
    <n v="1293810"/>
    <x v="0"/>
    <x v="12"/>
    <d v="2024-11-10T00:00:00"/>
  </r>
  <r>
    <s v="ORD_0161 "/>
    <x v="6"/>
    <x v="3"/>
    <n v="37666"/>
    <n v="420333"/>
    <n v="382667"/>
    <x v="0"/>
    <x v="4"/>
    <d v="2024-12-03T00:00:00"/>
  </r>
  <r>
    <s v="ORD_0218 "/>
    <x v="9"/>
    <x v="3"/>
    <n v="64220"/>
    <n v="955691"/>
    <n v="891471"/>
    <x v="0"/>
    <x v="9"/>
    <d v="2024-11-05T00:00:00"/>
  </r>
  <r>
    <s v="ORD_0313 "/>
    <x v="0"/>
    <x v="3"/>
    <n v="39434"/>
    <n v="1337279"/>
    <n v="1297845"/>
    <x v="0"/>
    <x v="9"/>
    <d v="2024-10-01T00:00:00"/>
  </r>
  <r>
    <s v="ORD_0004 "/>
    <x v="7"/>
    <x v="0"/>
    <n v="43203"/>
    <n v="0"/>
    <s v=" "/>
    <x v="1"/>
    <x v="9"/>
    <d v="2024-10-06T00:00:00"/>
  </r>
  <r>
    <s v="ORD_0013 "/>
    <x v="9"/>
    <x v="3"/>
    <n v="23945"/>
    <n v="80021"/>
    <n v="56076"/>
    <x v="0"/>
    <x v="7"/>
    <d v="2024-10-01T00:00:00"/>
  </r>
  <r>
    <s v="ORD_0097 "/>
    <x v="7"/>
    <x v="2"/>
    <n v="58421"/>
    <n v="306199"/>
    <n v="247778"/>
    <x v="0"/>
    <x v="8"/>
    <d v="2024-11-26T00:00:00"/>
  </r>
  <r>
    <s v="ORD_0248 "/>
    <x v="7"/>
    <x v="2"/>
    <n v="101772"/>
    <n v="1501491"/>
    <n v="1399719"/>
    <x v="0"/>
    <x v="12"/>
    <d v="2024-10-10T00:00:00"/>
  </r>
  <r>
    <s v="ORD_0184 "/>
    <x v="3"/>
    <x v="1"/>
    <n v="7769"/>
    <n v="964627"/>
    <n v="956858"/>
    <x v="0"/>
    <x v="3"/>
    <d v="2024-12-08T00:00:00"/>
  </r>
  <r>
    <s v="ORD_0262 "/>
    <x v="8"/>
    <x v="2"/>
    <n v="84302"/>
    <n v="764766"/>
    <n v="680464"/>
    <x v="0"/>
    <x v="8"/>
    <d v="2024-12-20T00:00:00"/>
  </r>
  <r>
    <s v="ORD_0099 "/>
    <x v="8"/>
    <x v="0"/>
    <n v="116160"/>
    <n v="1395791"/>
    <n v="1279631"/>
    <x v="0"/>
    <x v="2"/>
    <d v="2024-10-11T00:00:00"/>
  </r>
  <r>
    <s v="ORD_0153 "/>
    <x v="2"/>
    <x v="2"/>
    <n v="136299"/>
    <n v="1549146"/>
    <n v="1412847"/>
    <x v="0"/>
    <x v="0"/>
    <d v="2024-11-13T00:00:00"/>
  </r>
  <r>
    <s v="ORD_0283 "/>
    <x v="2"/>
    <x v="3"/>
    <n v="50061"/>
    <n v="213241"/>
    <n v="163180"/>
    <x v="0"/>
    <x v="4"/>
    <d v="2024-12-11T00:00:00"/>
  </r>
  <r>
    <s v="ORD_0024 "/>
    <x v="2"/>
    <x v="2"/>
    <n v="125641"/>
    <n v="1666819"/>
    <n v="1541178"/>
    <x v="0"/>
    <x v="3"/>
    <d v="2024-11-07T00:00:00"/>
  </r>
  <r>
    <s v="ORD_0043 "/>
    <x v="0"/>
    <x v="1"/>
    <n v="16688"/>
    <n v="0"/>
    <s v=" "/>
    <x v="1"/>
    <x v="3"/>
    <d v="2024-12-22T00:00:00"/>
  </r>
  <r>
    <s v="ORD_0263 "/>
    <x v="4"/>
    <x v="3"/>
    <n v="36267"/>
    <n v="1620876"/>
    <n v="1584609"/>
    <x v="0"/>
    <x v="8"/>
    <d v="2024-12-18T00:00:00"/>
  </r>
  <r>
    <s v="ORD_0182 "/>
    <x v="0"/>
    <x v="3"/>
    <n v="64001"/>
    <n v="768516"/>
    <n v="704515"/>
    <x v="0"/>
    <x v="10"/>
    <d v="2024-10-09T00:00:00"/>
  </r>
  <r>
    <s v="ORD_0186 "/>
    <x v="3"/>
    <x v="1"/>
    <n v="10759"/>
    <n v="1096330"/>
    <n v="1085571"/>
    <x v="0"/>
    <x v="8"/>
    <d v="2024-10-31T00:00:00"/>
  </r>
  <r>
    <s v="ORD_0046 "/>
    <x v="0"/>
    <x v="0"/>
    <n v="137818"/>
    <n v="1370470"/>
    <n v="1232652"/>
    <x v="0"/>
    <x v="11"/>
    <d v="2024-10-11T00:00:00"/>
  </r>
  <r>
    <s v="ORD_0036 "/>
    <x v="9"/>
    <x v="2"/>
    <n v="92475"/>
    <n v="1088148"/>
    <n v="995673"/>
    <x v="0"/>
    <x v="8"/>
    <d v="2024-12-23T00:00:00"/>
  </r>
  <r>
    <s v="ORD_0277 "/>
    <x v="0"/>
    <x v="0"/>
    <n v="142022"/>
    <n v="0"/>
    <s v=" "/>
    <x v="1"/>
    <x v="4"/>
    <d v="2024-10-11T00:00:00"/>
  </r>
  <r>
    <s v="ORD_0127 "/>
    <x v="8"/>
    <x v="3"/>
    <n v="34063"/>
    <n v="1312051"/>
    <n v="1277988"/>
    <x v="0"/>
    <x v="11"/>
    <d v="2024-11-06T00:00:00"/>
  </r>
  <r>
    <s v="ORD_0239 "/>
    <x v="4"/>
    <x v="0"/>
    <n v="36635"/>
    <n v="0"/>
    <s v=" "/>
    <x v="1"/>
    <x v="4"/>
    <d v="2024-12-29T00:00:00"/>
  </r>
  <r>
    <s v="ORD_0227 "/>
    <x v="7"/>
    <x v="1"/>
    <n v="16828"/>
    <n v="888387"/>
    <n v="871559"/>
    <x v="0"/>
    <x v="5"/>
    <d v="2024-11-07T00:00:00"/>
  </r>
  <r>
    <s v="ORD_0103 "/>
    <x v="6"/>
    <x v="0"/>
    <n v="47307"/>
    <n v="0"/>
    <s v=" "/>
    <x v="1"/>
    <x v="0"/>
    <d v="2024-11-19T00:00:00"/>
  </r>
  <r>
    <s v="ORD_0243 "/>
    <x v="2"/>
    <x v="0"/>
    <n v="117976"/>
    <n v="1498089"/>
    <n v="1380113"/>
    <x v="0"/>
    <x v="7"/>
    <d v="2024-12-15T00:00:00"/>
  </r>
  <r>
    <s v="ORD_0119 "/>
    <x v="9"/>
    <x v="1"/>
    <n v="12346"/>
    <n v="639939"/>
    <n v="627593"/>
    <x v="0"/>
    <x v="3"/>
    <d v="2024-11-28T00:00:00"/>
  </r>
  <r>
    <s v="ORD_0079 "/>
    <x v="8"/>
    <x v="0"/>
    <n v="41116"/>
    <n v="1000737"/>
    <n v="959621"/>
    <x v="0"/>
    <x v="2"/>
    <d v="2024-12-21T00:00:00"/>
  </r>
  <r>
    <s v="ORD_0078 "/>
    <x v="7"/>
    <x v="3"/>
    <n v="55402"/>
    <n v="0"/>
    <s v=" "/>
    <x v="1"/>
    <x v="4"/>
    <d v="2024-11-12T00:00:00"/>
  </r>
  <r>
    <s v="ORD_0225 "/>
    <x v="2"/>
    <x v="0"/>
    <n v="107008"/>
    <n v="235642"/>
    <n v="128634"/>
    <x v="0"/>
    <x v="8"/>
    <d v="2024-11-06T00:00:00"/>
  </r>
  <r>
    <s v="ORD_0291 "/>
    <x v="2"/>
    <x v="3"/>
    <n v="29650"/>
    <n v="547359"/>
    <n v="517709"/>
    <x v="0"/>
    <x v="5"/>
    <d v="2024-10-09T00:00:00"/>
  </r>
  <r>
    <s v="ORD_0025 "/>
    <x v="9"/>
    <x v="1"/>
    <n v="16944"/>
    <n v="0"/>
    <s v=" "/>
    <x v="1"/>
    <x v="0"/>
    <d v="2024-11-23T00:00:00"/>
  </r>
  <r>
    <s v="ORD_0001 "/>
    <x v="9"/>
    <x v="2"/>
    <n v="95406"/>
    <n v="925695"/>
    <n v="830289"/>
    <x v="0"/>
    <x v="5"/>
    <d v="2024-12-11T00:00:00"/>
  </r>
  <r>
    <s v="ORD_0232 "/>
    <x v="3"/>
    <x v="0"/>
    <n v="96710"/>
    <n v="1282430"/>
    <n v="1185720"/>
    <x v="0"/>
    <x v="12"/>
    <d v="2024-11-19T00:00:00"/>
  </r>
  <r>
    <s v="ORD_0244 "/>
    <x v="9"/>
    <x v="1"/>
    <n v="8018"/>
    <n v="690093"/>
    <n v="682075"/>
    <x v="0"/>
    <x v="8"/>
    <d v="2024-12-04T00:00:00"/>
  </r>
  <r>
    <s v="ORD_0248 "/>
    <x v="7"/>
    <x v="2"/>
    <n v="101772"/>
    <n v="1501491"/>
    <n v="1399719"/>
    <x v="0"/>
    <x v="3"/>
    <d v="2024-10-10T00:00:00"/>
  </r>
  <r>
    <s v="ORD_0102 "/>
    <x v="0"/>
    <x v="3"/>
    <n v="77101"/>
    <n v="221397"/>
    <n v="144296"/>
    <x v="0"/>
    <x v="11"/>
    <d v="2024-12-17T00:00:00"/>
  </r>
  <r>
    <s v="ORD_0305 "/>
    <x v="0"/>
    <x v="2"/>
    <n v="178017"/>
    <n v="0"/>
    <s v=" "/>
    <x v="1"/>
    <x v="12"/>
    <d v="2024-12-29T00:00:00"/>
  </r>
  <r>
    <s v="ORD_0257 "/>
    <x v="8"/>
    <x v="1"/>
    <n v="8971"/>
    <n v="1929340"/>
    <n v="1920369"/>
    <x v="0"/>
    <x v="9"/>
    <d v="2024-12-03T00:00:00"/>
  </r>
  <r>
    <s v="ORD_0042 "/>
    <x v="0"/>
    <x v="1"/>
    <n v="13871"/>
    <n v="490688"/>
    <n v="476817"/>
    <x v="0"/>
    <x v="7"/>
    <d v="2024-10-04T00:00:00"/>
  </r>
  <r>
    <s v="ORD_0126 "/>
    <x v="8"/>
    <x v="3"/>
    <n v="63761"/>
    <n v="1853012"/>
    <n v="1789251"/>
    <x v="0"/>
    <x v="10"/>
    <d v="2024-11-30T00:00:00"/>
  </r>
  <r>
    <s v="ORD_0306 "/>
    <x v="8"/>
    <x v="0"/>
    <n v="132653"/>
    <n v="1471221"/>
    <n v="1338568"/>
    <x v="0"/>
    <x v="10"/>
    <d v="2024-11-02T00:00:00"/>
  </r>
  <r>
    <s v="ORD_0278 "/>
    <x v="1"/>
    <x v="3"/>
    <n v="51192"/>
    <n v="0"/>
    <s v=" "/>
    <x v="1"/>
    <x v="10"/>
    <d v="2024-10-30T00:00:00"/>
  </r>
  <r>
    <s v="ORD_0058 "/>
    <x v="3"/>
    <x v="0"/>
    <n v="50548"/>
    <n v="0"/>
    <s v=" "/>
    <x v="1"/>
    <x v="2"/>
    <d v="2024-11-03T00:00:00"/>
  </r>
  <r>
    <s v="ORD_0098 "/>
    <x v="2"/>
    <x v="0"/>
    <n v="64674"/>
    <n v="1498918"/>
    <n v="1434244"/>
    <x v="0"/>
    <x v="3"/>
    <d v="2024-11-14T00:00:00"/>
  </r>
  <r>
    <s v="ORD_0245 "/>
    <x v="0"/>
    <x v="3"/>
    <n v="60778"/>
    <n v="343359"/>
    <n v="282581"/>
    <x v="0"/>
    <x v="12"/>
    <d v="2024-12-21T00:00:00"/>
  </r>
  <r>
    <s v="ORD_0211 "/>
    <x v="0"/>
    <x v="1"/>
    <n v="11604"/>
    <n v="0"/>
    <s v=" "/>
    <x v="1"/>
    <x v="4"/>
    <d v="2024-12-05T00:00:00"/>
  </r>
  <r>
    <s v="ORD_0312 "/>
    <x v="0"/>
    <x v="1"/>
    <n v="13017"/>
    <n v="1326716"/>
    <n v="1313699"/>
    <x v="0"/>
    <x v="10"/>
    <d v="2024-11-10T00:00:00"/>
  </r>
  <r>
    <s v="ORD_0217 "/>
    <x v="3"/>
    <x v="1"/>
    <n v="12734"/>
    <n v="534079"/>
    <n v="521345"/>
    <x v="0"/>
    <x v="7"/>
    <d v="2024-11-03T00:00:00"/>
  </r>
  <r>
    <s v="ORD_0144 "/>
    <x v="2"/>
    <x v="0"/>
    <n v="137446"/>
    <n v="795519"/>
    <n v="658073"/>
    <x v="0"/>
    <x v="7"/>
    <d v="2024-11-25T00:00:00"/>
  </r>
  <r>
    <s v="ORD_0191 "/>
    <x v="3"/>
    <x v="3"/>
    <n v="52637"/>
    <n v="1362343"/>
    <n v="1309706"/>
    <x v="0"/>
    <x v="12"/>
    <d v="2024-11-26T00:00:00"/>
  </r>
  <r>
    <s v="ORD_0304 "/>
    <x v="3"/>
    <x v="0"/>
    <n v="83262"/>
    <n v="93396"/>
    <n v="10134"/>
    <x v="0"/>
    <x v="0"/>
    <d v="2024-12-04T00:00:00"/>
  </r>
  <r>
    <s v="ORD_0307 "/>
    <x v="7"/>
    <x v="2"/>
    <n v="193967"/>
    <n v="0"/>
    <s v=" "/>
    <x v="1"/>
    <x v="13"/>
    <d v="2024-12-11T00:00:00"/>
  </r>
  <r>
    <s v="ORD_0168 "/>
    <x v="8"/>
    <x v="1"/>
    <n v="24235"/>
    <n v="632774"/>
    <n v="608539"/>
    <x v="0"/>
    <x v="13"/>
    <d v="2024-12-31T00:00:00"/>
  </r>
  <r>
    <s v="ORD_0329 "/>
    <x v="7"/>
    <x v="3"/>
    <n v="97091"/>
    <n v="960082"/>
    <n v="862991"/>
    <x v="0"/>
    <x v="1"/>
    <d v="2024-12-30T00:00:00"/>
  </r>
  <r>
    <s v="ORD_0258 "/>
    <x v="3"/>
    <x v="0"/>
    <n v="112461"/>
    <n v="0"/>
    <s v=" "/>
    <x v="1"/>
    <x v="5"/>
    <d v="2024-10-14T00:00:00"/>
  </r>
  <r>
    <s v="ORD_0314 "/>
    <x v="4"/>
    <x v="0"/>
    <n v="98813"/>
    <n v="487195"/>
    <n v="388382"/>
    <x v="0"/>
    <x v="2"/>
    <d v="2024-11-20T00:00:00"/>
  </r>
  <r>
    <s v="ORD_0166 "/>
    <x v="1"/>
    <x v="1"/>
    <n v="24371"/>
    <n v="627308"/>
    <n v="602937"/>
    <x v="0"/>
    <x v="8"/>
    <d v="2024-11-14T00:00:00"/>
  </r>
  <r>
    <s v="ORD_0249 "/>
    <x v="9"/>
    <x v="0"/>
    <n v="141433"/>
    <n v="0"/>
    <s v=" "/>
    <x v="1"/>
    <x v="0"/>
    <d v="2024-10-10T00:00:00"/>
  </r>
  <r>
    <s v="ORD_0205 "/>
    <x v="8"/>
    <x v="0"/>
    <n v="35425"/>
    <n v="818311"/>
    <n v="782886"/>
    <x v="0"/>
    <x v="5"/>
    <d v="2024-12-11T00:00:00"/>
  </r>
  <r>
    <s v="ORD_0207 "/>
    <x v="1"/>
    <x v="3"/>
    <n v="43524"/>
    <n v="605247"/>
    <n v="561723"/>
    <x v="0"/>
    <x v="6"/>
    <d v="2024-11-24T00:00:00"/>
  </r>
  <r>
    <s v="ORD_0222 "/>
    <x v="5"/>
    <x v="0"/>
    <n v="78632"/>
    <n v="334657"/>
    <n v="256025"/>
    <x v="0"/>
    <x v="5"/>
    <d v="2024-10-27T00:00:00"/>
  </r>
  <r>
    <s v="ORD_0054 "/>
    <x v="9"/>
    <x v="0"/>
    <n v="125696"/>
    <n v="1458244"/>
    <n v="1332548"/>
    <x v="0"/>
    <x v="6"/>
    <d v="2024-11-18T00:00:00"/>
  </r>
  <r>
    <s v="ORD_0002 "/>
    <x v="5"/>
    <x v="3"/>
    <n v="53272"/>
    <n v="1596681"/>
    <n v="1543409"/>
    <x v="0"/>
    <x v="10"/>
    <d v="2024-10-22T00:00:00"/>
  </r>
  <r>
    <s v="ORD_0325 "/>
    <x v="4"/>
    <x v="0"/>
    <n v="40822"/>
    <n v="1338799"/>
    <n v="1297977"/>
    <x v="0"/>
    <x v="4"/>
    <d v="2024-11-01T00:00:00"/>
  </r>
  <r>
    <s v="ORD_0035 "/>
    <x v="2"/>
    <x v="2"/>
    <n v="93455"/>
    <n v="1781299"/>
    <n v="1687844"/>
    <x v="0"/>
    <x v="10"/>
    <d v="2024-11-07T00:00:00"/>
  </r>
  <r>
    <s v="ORD_0131 "/>
    <x v="7"/>
    <x v="2"/>
    <n v="88550"/>
    <n v="1113569"/>
    <n v="1025019"/>
    <x v="0"/>
    <x v="3"/>
    <d v="2024-11-02T00:00:00"/>
  </r>
  <r>
    <s v="ORD_0115 "/>
    <x v="6"/>
    <x v="0"/>
    <n v="32015"/>
    <n v="1990668"/>
    <n v="1958653"/>
    <x v="0"/>
    <x v="6"/>
    <d v="2024-12-21T00:00:00"/>
  </r>
  <r>
    <s v="ORD_0062 "/>
    <x v="2"/>
    <x v="1"/>
    <n v="15935"/>
    <n v="457208"/>
    <n v="441273"/>
    <x v="0"/>
    <x v="6"/>
    <d v="2024-10-21T00:00:00"/>
  </r>
  <r>
    <s v="ORD_0188 "/>
    <x v="0"/>
    <x v="1"/>
    <n v="9348"/>
    <n v="777821"/>
    <n v="768473"/>
    <x v="0"/>
    <x v="0"/>
    <d v="2024-10-24T00:00:00"/>
  </r>
  <r>
    <s v="ORD_0059 "/>
    <x v="3"/>
    <x v="0"/>
    <n v="131437"/>
    <n v="1925437"/>
    <n v="1794000"/>
    <x v="0"/>
    <x v="9"/>
    <d v="2024-12-10T00:00:00"/>
  </r>
  <r>
    <s v="ORD_0301 "/>
    <x v="1"/>
    <x v="0"/>
    <n v="103852"/>
    <n v="801143"/>
    <n v="697291"/>
    <x v="0"/>
    <x v="3"/>
    <d v="2024-10-04T00:00:00"/>
  </r>
  <r>
    <s v="ORD_0137 "/>
    <x v="6"/>
    <x v="2"/>
    <n v="80219"/>
    <n v="862604"/>
    <n v="782385"/>
    <x v="0"/>
    <x v="7"/>
    <d v="2024-12-20T00:00:00"/>
  </r>
  <r>
    <s v="ORD_0309 "/>
    <x v="7"/>
    <x v="0"/>
    <n v="137039"/>
    <n v="1394653"/>
    <n v="1257614"/>
    <x v="0"/>
    <x v="2"/>
    <d v="2024-11-29T00:00:00"/>
  </r>
  <r>
    <s v="ORD_0114 "/>
    <x v="6"/>
    <x v="1"/>
    <n v="12063"/>
    <n v="1767016"/>
    <n v="1754953"/>
    <x v="0"/>
    <x v="2"/>
    <d v="2024-11-12T00:00:00"/>
  </r>
  <r>
    <s v="ORD_0300 "/>
    <x v="9"/>
    <x v="2"/>
    <n v="54038"/>
    <n v="4441"/>
    <n v="-49597"/>
    <x v="0"/>
    <x v="12"/>
    <d v="2024-11-14T00:00:00"/>
  </r>
  <r>
    <s v="ORD_0169 "/>
    <x v="2"/>
    <x v="2"/>
    <n v="199874"/>
    <n v="426101"/>
    <n v="226227"/>
    <x v="0"/>
    <x v="4"/>
    <d v="2024-12-08T00:00:00"/>
  </r>
  <r>
    <s v="ORD_0229 "/>
    <x v="4"/>
    <x v="2"/>
    <n v="168086"/>
    <n v="281511"/>
    <n v="113425"/>
    <x v="0"/>
    <x v="0"/>
    <d v="2024-11-09T00:00:00"/>
  </r>
  <r>
    <s v="ORD_0136 "/>
    <x v="1"/>
    <x v="0"/>
    <n v="116275"/>
    <n v="745463"/>
    <n v="629188"/>
    <x v="0"/>
    <x v="11"/>
    <d v="2024-12-13T00:00:00"/>
  </r>
  <r>
    <s v="ORD_0340 "/>
    <x v="7"/>
    <x v="0"/>
    <n v="100711"/>
    <n v="59548"/>
    <n v="-41163"/>
    <x v="0"/>
    <x v="0"/>
    <d v="2024-12-25T00:00:00"/>
  </r>
  <r>
    <s v="ORD_0019 "/>
    <x v="0"/>
    <x v="3"/>
    <n v="77268"/>
    <n v="895608"/>
    <n v="818340"/>
    <x v="0"/>
    <x v="0"/>
    <d v="2024-12-15T00:00:00"/>
  </r>
  <r>
    <s v="ORD_0194 "/>
    <x v="7"/>
    <x v="3"/>
    <n v="99126"/>
    <n v="1883899"/>
    <n v="1784773"/>
    <x v="0"/>
    <x v="2"/>
    <d v="2024-12-14T00:00:00"/>
  </r>
  <r>
    <s v="ORD_0072 "/>
    <x v="0"/>
    <x v="1"/>
    <n v="24028"/>
    <n v="0"/>
    <s v=" "/>
    <x v="1"/>
    <x v="7"/>
    <d v="2024-11-13T00:00:00"/>
  </r>
  <r>
    <s v="ORD_0288 "/>
    <x v="4"/>
    <x v="3"/>
    <n v="99823"/>
    <n v="1694704"/>
    <n v="1594881"/>
    <x v="0"/>
    <x v="11"/>
    <d v="2024-11-27T00:00:00"/>
  </r>
  <r>
    <s v="ORD_0151 "/>
    <x v="9"/>
    <x v="1"/>
    <n v="15228"/>
    <n v="1482845"/>
    <n v="1467617"/>
    <x v="0"/>
    <x v="5"/>
    <d v="2024-12-24T00:00:00"/>
  </r>
  <r>
    <s v="ORD_0272 "/>
    <x v="1"/>
    <x v="1"/>
    <n v="7991"/>
    <n v="0"/>
    <s v=" "/>
    <x v="1"/>
    <x v="4"/>
    <d v="2024-11-19T00:00:00"/>
  </r>
  <r>
    <s v="ORD_0142 "/>
    <x v="3"/>
    <x v="3"/>
    <n v="74017"/>
    <n v="1367827"/>
    <n v="1293810"/>
    <x v="0"/>
    <x v="11"/>
    <d v="2024-11-10T00:00:00"/>
  </r>
  <r>
    <s v="ORD_0270 "/>
    <x v="2"/>
    <x v="0"/>
    <n v="113567"/>
    <n v="0"/>
    <s v=" "/>
    <x v="1"/>
    <x v="7"/>
    <d v="2024-12-24T00:00:00"/>
  </r>
  <r>
    <s v="ORD_0009 "/>
    <x v="3"/>
    <x v="0"/>
    <n v="93368"/>
    <n v="247843"/>
    <n v="154475"/>
    <x v="0"/>
    <x v="0"/>
    <d v="2024-11-27T00:00:00"/>
  </r>
  <r>
    <s v="ORD_0194 "/>
    <x v="7"/>
    <x v="3"/>
    <n v="99126"/>
    <n v="1883899"/>
    <n v="1784773"/>
    <x v="0"/>
    <x v="0"/>
    <d v="2024-12-14T00:00:00"/>
  </r>
  <r>
    <s v="ORD_0333 "/>
    <x v="9"/>
    <x v="1"/>
    <n v="13113"/>
    <n v="0"/>
    <s v=" "/>
    <x v="1"/>
    <x v="6"/>
    <d v="2024-12-13T00:00:00"/>
  </r>
  <r>
    <s v="ORD_0053 "/>
    <x v="4"/>
    <x v="0"/>
    <n v="30666"/>
    <n v="1306441"/>
    <n v="1275775"/>
    <x v="0"/>
    <x v="8"/>
    <d v="2024-10-24T00:00:00"/>
  </r>
  <r>
    <s v="ORD_0111 "/>
    <x v="0"/>
    <x v="2"/>
    <n v="197231"/>
    <n v="0"/>
    <s v=" "/>
    <x v="1"/>
    <x v="6"/>
    <d v="2024-10-13T00:00:00"/>
  </r>
  <r>
    <s v="ORD_0108 "/>
    <x v="9"/>
    <x v="3"/>
    <n v="85682"/>
    <n v="1124647"/>
    <n v="1038965"/>
    <x v="0"/>
    <x v="1"/>
    <d v="2024-10-23T00:00:00"/>
  </r>
  <r>
    <s v="ORD_0022 "/>
    <x v="3"/>
    <x v="3"/>
    <n v="62375"/>
    <n v="1601143"/>
    <n v="1538768"/>
    <x v="0"/>
    <x v="9"/>
    <d v="2024-10-15T00:00:00"/>
  </r>
  <r>
    <s v="ORD_0029 "/>
    <x v="5"/>
    <x v="1"/>
    <n v="27790"/>
    <n v="1077942"/>
    <n v="1050152"/>
    <x v="0"/>
    <x v="3"/>
    <d v="2024-10-05T00:00:00"/>
  </r>
  <r>
    <s v="ORD_0202 "/>
    <x v="9"/>
    <x v="1"/>
    <n v="24737"/>
    <n v="1527172"/>
    <n v="1502435"/>
    <x v="0"/>
    <x v="10"/>
    <d v="2024-12-21T00:00:00"/>
  </r>
  <r>
    <s v="ORD_0265 "/>
    <x v="8"/>
    <x v="1"/>
    <n v="19086"/>
    <n v="345653"/>
    <n v="326567"/>
    <x v="0"/>
    <x v="5"/>
    <d v="2024-10-30T00:00:00"/>
  </r>
  <r>
    <s v="ORD_0065 "/>
    <x v="3"/>
    <x v="2"/>
    <n v="182658"/>
    <n v="601455"/>
    <n v="418797"/>
    <x v="0"/>
    <x v="12"/>
    <d v="2024-11-23T00:00:00"/>
  </r>
  <r>
    <s v="ORD_0012 "/>
    <x v="1"/>
    <x v="1"/>
    <n v="16614"/>
    <n v="0"/>
    <s v=" "/>
    <x v="1"/>
    <x v="8"/>
    <d v="2024-12-04T00:00:00"/>
  </r>
  <r>
    <s v="ORD_0279 "/>
    <x v="9"/>
    <x v="0"/>
    <n v="126243"/>
    <n v="318224"/>
    <n v="191981"/>
    <x v="0"/>
    <x v="1"/>
    <d v="2024-10-09T00:00:00"/>
  </r>
  <r>
    <s v="ORD_0254 "/>
    <x v="5"/>
    <x v="2"/>
    <n v="187713"/>
    <n v="289259"/>
    <n v="101546"/>
    <x v="0"/>
    <x v="1"/>
    <d v="2024-10-14T00:00:00"/>
  </r>
  <r>
    <s v="ORD_0295 "/>
    <x v="4"/>
    <x v="3"/>
    <n v="31245"/>
    <n v="0"/>
    <s v=" "/>
    <x v="1"/>
    <x v="6"/>
    <d v="2024-10-18T00:00:00"/>
  </r>
  <r>
    <s v="ORD_0276 "/>
    <x v="8"/>
    <x v="3"/>
    <n v="77272"/>
    <n v="401487"/>
    <n v="324215"/>
    <x v="0"/>
    <x v="3"/>
    <d v="2024-10-27T00:00:00"/>
  </r>
  <r>
    <s v="ORD_0297 "/>
    <x v="1"/>
    <x v="0"/>
    <n v="144760"/>
    <n v="1959270"/>
    <n v="1814510"/>
    <x v="0"/>
    <x v="10"/>
    <d v="2024-12-19T00:00:00"/>
  </r>
  <r>
    <s v="ORD_0075 "/>
    <x v="7"/>
    <x v="3"/>
    <n v="72443"/>
    <n v="70838"/>
    <n v="-1605"/>
    <x v="0"/>
    <x v="10"/>
    <d v="2024-11-03T00:00:00"/>
  </r>
  <r>
    <s v="ORD_0048 "/>
    <x v="1"/>
    <x v="3"/>
    <n v="99427"/>
    <n v="1508170"/>
    <n v="1408743"/>
    <x v="0"/>
    <x v="13"/>
    <d v="2024-10-29T00:00:00"/>
  </r>
  <r>
    <s v="ORD_0100 "/>
    <x v="8"/>
    <x v="1"/>
    <n v="17737"/>
    <n v="1567997"/>
    <n v="1550260"/>
    <x v="0"/>
    <x v="4"/>
    <d v="2024-12-30T00:00:00"/>
  </r>
  <r>
    <s v="ORD_0173 "/>
    <x v="2"/>
    <x v="0"/>
    <n v="47594"/>
    <n v="1001247"/>
    <n v="953653"/>
    <x v="0"/>
    <x v="10"/>
    <d v="2024-11-10T00:00:00"/>
  </r>
  <r>
    <s v="ORD_0048 "/>
    <x v="1"/>
    <x v="3"/>
    <n v="99427"/>
    <n v="1508170"/>
    <n v="1408743"/>
    <x v="0"/>
    <x v="7"/>
    <d v="2024-10-29T00:00:00"/>
  </r>
  <r>
    <s v="ORD_0015 "/>
    <x v="5"/>
    <x v="3"/>
    <n v="21064"/>
    <n v="1123985"/>
    <n v="1102921"/>
    <x v="0"/>
    <x v="13"/>
    <d v="2024-11-30T00:00:00"/>
  </r>
  <r>
    <s v="ORD_0274 "/>
    <x v="1"/>
    <x v="0"/>
    <n v="87339"/>
    <n v="1232242"/>
    <n v="1144903"/>
    <x v="0"/>
    <x v="12"/>
    <d v="2024-12-31T00:00:00"/>
  </r>
  <r>
    <s v="ORD_0185 "/>
    <x v="8"/>
    <x v="2"/>
    <n v="63852"/>
    <n v="680308"/>
    <n v="616456"/>
    <x v="0"/>
    <x v="2"/>
    <d v="2024-12-08T00:00:00"/>
  </r>
  <r>
    <s v="ORD_0146 "/>
    <x v="7"/>
    <x v="0"/>
    <n v="106923"/>
    <n v="901076"/>
    <n v="794153"/>
    <x v="0"/>
    <x v="11"/>
    <d v="2024-11-14T00:00:00"/>
  </r>
  <r>
    <s v="ORD_0090 "/>
    <x v="4"/>
    <x v="3"/>
    <n v="24000"/>
    <n v="0"/>
    <s v=" "/>
    <x v="1"/>
    <x v="1"/>
    <d v="2024-12-28T00:00:00"/>
  </r>
  <r>
    <s v="ORD_0052 "/>
    <x v="8"/>
    <x v="3"/>
    <n v="95878"/>
    <n v="1384749"/>
    <n v="1288871"/>
    <x v="0"/>
    <x v="6"/>
    <d v="2024-10-20T00:00:00"/>
  </r>
  <r>
    <s v="ORD_0206 "/>
    <x v="9"/>
    <x v="0"/>
    <n v="45592"/>
    <n v="1345493"/>
    <n v="1299901"/>
    <x v="0"/>
    <x v="12"/>
    <d v="2024-10-24T00:00:00"/>
  </r>
  <r>
    <s v="ORD_0303 "/>
    <x v="2"/>
    <x v="1"/>
    <n v="13790"/>
    <n v="653409"/>
    <n v="639619"/>
    <x v="0"/>
    <x v="1"/>
    <d v="2024-12-04T00:00:00"/>
  </r>
  <r>
    <s v="ORD_0200 "/>
    <x v="8"/>
    <x v="0"/>
    <n v="40312"/>
    <n v="1713287"/>
    <n v="1672975"/>
    <x v="0"/>
    <x v="9"/>
    <d v="2024-10-15T00:00:00"/>
  </r>
  <r>
    <s v="ORD_0165 "/>
    <x v="2"/>
    <x v="1"/>
    <n v="27949"/>
    <n v="0"/>
    <s v=" "/>
    <x v="1"/>
    <x v="4"/>
    <d v="2024-10-03T00:00:00"/>
  </r>
  <r>
    <s v="ORD_0066 "/>
    <x v="7"/>
    <x v="1"/>
    <n v="17805"/>
    <n v="625508"/>
    <n v="607703"/>
    <x v="0"/>
    <x v="7"/>
    <d v="2024-11-06T00:00:00"/>
  </r>
  <r>
    <s v="ORD_0071 "/>
    <x v="0"/>
    <x v="2"/>
    <n v="75680"/>
    <n v="1156467"/>
    <n v="1080787"/>
    <x v="0"/>
    <x v="8"/>
    <d v="2024-11-25T00:00:00"/>
  </r>
  <r>
    <s v="ORD_0233 "/>
    <x v="2"/>
    <x v="3"/>
    <n v="89315"/>
    <n v="1389039"/>
    <n v="1299724"/>
    <x v="0"/>
    <x v="2"/>
    <d v="2024-10-09T00:00:00"/>
  </r>
  <r>
    <s v="ORD_0231 "/>
    <x v="2"/>
    <x v="2"/>
    <n v="140472"/>
    <n v="37647"/>
    <n v="-102825"/>
    <x v="0"/>
    <x v="1"/>
    <d v="2024-11-12T00:00:00"/>
  </r>
  <r>
    <s v="ORD_0213 "/>
    <x v="1"/>
    <x v="1"/>
    <n v="26439"/>
    <n v="538019"/>
    <n v="511580"/>
    <x v="0"/>
    <x v="10"/>
    <d v="2024-10-20T00:00:00"/>
  </r>
  <r>
    <s v="ORD_0038 "/>
    <x v="7"/>
    <x v="0"/>
    <n v="87685"/>
    <n v="0"/>
    <s v=" "/>
    <x v="1"/>
    <x v="6"/>
    <d v="2024-11-03T00:00:00"/>
  </r>
  <r>
    <s v="ORD_0286 "/>
    <x v="3"/>
    <x v="0"/>
    <n v="77989"/>
    <n v="1374491"/>
    <n v="1296502"/>
    <x v="0"/>
    <x v="10"/>
    <d v="2024-10-26T00:00:00"/>
  </r>
  <r>
    <s v="ORD_0221 "/>
    <x v="9"/>
    <x v="0"/>
    <n v="142143"/>
    <n v="1359362"/>
    <n v="1217219"/>
    <x v="0"/>
    <x v="12"/>
    <d v="2024-10-30T00:00:00"/>
  </r>
  <r>
    <s v="ORD_0056 "/>
    <x v="2"/>
    <x v="2"/>
    <n v="68227"/>
    <n v="455687"/>
    <n v="387460"/>
    <x v="0"/>
    <x v="11"/>
    <d v="2024-12-02T00:00:00"/>
  </r>
  <r>
    <s v="ORD_0139 "/>
    <x v="2"/>
    <x v="0"/>
    <n v="37670"/>
    <n v="1763036"/>
    <n v="1725366"/>
    <x v="0"/>
    <x v="1"/>
    <d v="2024-12-23T00:00:00"/>
  </r>
  <r>
    <s v="ORD_0141 "/>
    <x v="2"/>
    <x v="0"/>
    <n v="94926"/>
    <n v="73532"/>
    <n v="-21394"/>
    <x v="0"/>
    <x v="12"/>
    <d v="2024-10-18T00:00:00"/>
  </r>
  <r>
    <s v="ORD_0076 "/>
    <x v="6"/>
    <x v="3"/>
    <n v="63064"/>
    <n v="21139"/>
    <n v="-41925"/>
    <x v="0"/>
    <x v="2"/>
    <d v="2024-12-04T00:00:00"/>
  </r>
  <r>
    <s v="ORD_0091 "/>
    <x v="8"/>
    <x v="3"/>
    <n v="95250"/>
    <n v="1965692"/>
    <n v="1870442"/>
    <x v="0"/>
    <x v="5"/>
    <d v="2024-11-16T00:00:00"/>
  </r>
  <r>
    <s v="ORD_0290 "/>
    <x v="0"/>
    <x v="3"/>
    <n v="54989"/>
    <n v="473058"/>
    <n v="418069"/>
    <x v="0"/>
    <x v="9"/>
    <d v="2024-11-20T00:00:00"/>
  </r>
  <r>
    <s v="ORD_0264 "/>
    <x v="0"/>
    <x v="2"/>
    <n v="97705"/>
    <n v="1993703"/>
    <n v="1895998"/>
    <x v="0"/>
    <x v="4"/>
    <d v="2024-10-06T00:00:00"/>
  </r>
  <r>
    <s v="ORD_0124 "/>
    <x v="6"/>
    <x v="3"/>
    <n v="44466"/>
    <n v="0"/>
    <s v=" "/>
    <x v="1"/>
    <x v="0"/>
    <d v="2024-11-09T00:00:00"/>
  </r>
  <r>
    <s v="ORD_0147 "/>
    <x v="6"/>
    <x v="0"/>
    <n v="115881"/>
    <n v="731754"/>
    <n v="615873"/>
    <x v="0"/>
    <x v="1"/>
    <d v="2024-12-10T00:00:00"/>
  </r>
  <r>
    <s v="ORD_0224 "/>
    <x v="4"/>
    <x v="1"/>
    <n v="19105"/>
    <n v="929295"/>
    <n v="910190"/>
    <x v="0"/>
    <x v="8"/>
    <d v="2024-10-19T00:00:00"/>
  </r>
  <r>
    <s v="ORD_0118 "/>
    <x v="0"/>
    <x v="1"/>
    <n v="23334"/>
    <n v="1800480"/>
    <n v="1777146"/>
    <x v="0"/>
    <x v="10"/>
    <d v="2024-10-10T00:00:00"/>
  </r>
  <r>
    <s v="ORD_0237 "/>
    <x v="0"/>
    <x v="3"/>
    <n v="63335"/>
    <n v="861484"/>
    <n v="798149"/>
    <x v="0"/>
    <x v="0"/>
    <d v="2024-11-02T00:00:00"/>
  </r>
  <r>
    <s v="ORD_0117 "/>
    <x v="1"/>
    <x v="1"/>
    <n v="11573"/>
    <n v="1774467"/>
    <n v="1762894"/>
    <x v="0"/>
    <x v="8"/>
    <d v="2024-12-11T00:00:00"/>
  </r>
  <r>
    <s v="ORD_0101 "/>
    <x v="6"/>
    <x v="3"/>
    <n v="83883"/>
    <n v="0"/>
    <s v=" "/>
    <x v="1"/>
    <x v="4"/>
    <d v="2024-10-07T00:00:00"/>
  </r>
  <r>
    <s v="ORD_0061 "/>
    <x v="1"/>
    <x v="2"/>
    <n v="53538"/>
    <n v="631191"/>
    <n v="577653"/>
    <x v="0"/>
    <x v="1"/>
    <d v="2024-11-09T00:00:00"/>
  </r>
  <r>
    <s v="ORD_0064 "/>
    <x v="3"/>
    <x v="2"/>
    <n v="176436"/>
    <n v="372437"/>
    <n v="196001"/>
    <x v="0"/>
    <x v="7"/>
    <d v="2024-10-18T00:00:00"/>
  </r>
  <r>
    <s v="ORD_0309 "/>
    <x v="7"/>
    <x v="0"/>
    <n v="137039"/>
    <n v="1394653"/>
    <n v="1257614"/>
    <x v="0"/>
    <x v="5"/>
    <d v="2024-11-29T00:00:00"/>
  </r>
  <r>
    <s v="ORD_0215 "/>
    <x v="0"/>
    <x v="0"/>
    <n v="125114"/>
    <n v="1232047"/>
    <n v="1106933"/>
    <x v="0"/>
    <x v="4"/>
    <d v="2024-11-23T00:00:00"/>
  </r>
  <r>
    <s v="ORD_0061 "/>
    <x v="1"/>
    <x v="2"/>
    <n v="53538"/>
    <n v="631191"/>
    <n v="577653"/>
    <x v="0"/>
    <x v="4"/>
    <d v="2024-11-09T00:00:00"/>
  </r>
  <r>
    <s v="ORD_0095 "/>
    <x v="2"/>
    <x v="0"/>
    <n v="63220"/>
    <n v="1782419"/>
    <n v="1719199"/>
    <x v="0"/>
    <x v="5"/>
    <d v="2024-11-09T00:00:00"/>
  </r>
  <r>
    <s v="ORD_0324 "/>
    <x v="3"/>
    <x v="3"/>
    <n v="83236"/>
    <n v="1995287"/>
    <n v="1912051"/>
    <x v="0"/>
    <x v="6"/>
    <d v="2024-11-19T00:00:00"/>
  </r>
  <r>
    <s v="ORD_0158 "/>
    <x v="9"/>
    <x v="1"/>
    <n v="22547"/>
    <n v="1889627"/>
    <n v="1867080"/>
    <x v="0"/>
    <x v="11"/>
    <d v="2024-10-25T00:00:00"/>
  </r>
  <r>
    <s v="ORD_0159 "/>
    <x v="6"/>
    <x v="2"/>
    <n v="127225"/>
    <n v="1154393"/>
    <n v="1027168"/>
    <x v="0"/>
    <x v="5"/>
    <d v="2024-12-28T00:00:00"/>
  </r>
  <r>
    <s v="ORD_0157 "/>
    <x v="9"/>
    <x v="2"/>
    <n v="159168"/>
    <n v="980676"/>
    <n v="821508"/>
    <x v="0"/>
    <x v="10"/>
    <d v="2024-11-20T00:00:00"/>
  </r>
  <r>
    <s v="ORD_0122 "/>
    <x v="7"/>
    <x v="0"/>
    <n v="96236"/>
    <n v="1722830"/>
    <n v="1626594"/>
    <x v="0"/>
    <x v="4"/>
    <d v="2024-10-30T00:00:00"/>
  </r>
  <r>
    <s v="ORD_0163 "/>
    <x v="5"/>
    <x v="1"/>
    <n v="14173"/>
    <n v="1371478"/>
    <n v="1357305"/>
    <x v="0"/>
    <x v="12"/>
    <d v="2024-11-05T00:00:00"/>
  </r>
  <r>
    <s v="ORD_0039 "/>
    <x v="4"/>
    <x v="3"/>
    <n v="33859"/>
    <n v="698196"/>
    <n v="664337"/>
    <x v="0"/>
    <x v="1"/>
    <d v="2024-12-04T00:00:00"/>
  </r>
  <r>
    <s v="ORD_0110 "/>
    <x v="7"/>
    <x v="0"/>
    <n v="72850"/>
    <n v="1561518"/>
    <n v="1488668"/>
    <x v="0"/>
    <x v="11"/>
    <d v="2024-10-17T00:00:00"/>
  </r>
  <r>
    <s v="ORD_0063 "/>
    <x v="2"/>
    <x v="0"/>
    <n v="110490"/>
    <n v="1635003"/>
    <n v="1524513"/>
    <x v="0"/>
    <x v="8"/>
    <d v="2024-12-23T00:00:00"/>
  </r>
  <r>
    <s v="ORD_0327 "/>
    <x v="9"/>
    <x v="1"/>
    <n v="20610"/>
    <n v="1537765"/>
    <n v="1517155"/>
    <x v="0"/>
    <x v="2"/>
    <d v="2024-10-11T00:00:00"/>
  </r>
  <r>
    <s v="ORD_0055 "/>
    <x v="3"/>
    <x v="0"/>
    <n v="129491"/>
    <n v="0"/>
    <s v=" "/>
    <x v="1"/>
    <x v="2"/>
    <d v="2024-11-17T00:00:00"/>
  </r>
  <r>
    <s v="ORD_0088 "/>
    <x v="3"/>
    <x v="0"/>
    <n v="136813"/>
    <n v="223484"/>
    <n v="86671"/>
    <x v="0"/>
    <x v="10"/>
    <d v="2024-11-15T00:00:00"/>
  </r>
  <r>
    <s v="ORD_0094 "/>
    <x v="1"/>
    <x v="3"/>
    <n v="68913"/>
    <n v="814175"/>
    <n v="745262"/>
    <x v="0"/>
    <x v="12"/>
    <d v="2024-11-01T00:00:00"/>
  </r>
  <r>
    <s v="ORD_0209 "/>
    <x v="8"/>
    <x v="0"/>
    <n v="124873"/>
    <n v="1396454"/>
    <n v="1271581"/>
    <x v="0"/>
    <x v="7"/>
    <d v="2024-12-07T00:00:00"/>
  </r>
  <r>
    <s v="ORD_0204 "/>
    <x v="3"/>
    <x v="1"/>
    <n v="9025"/>
    <n v="1643886"/>
    <n v="1634861"/>
    <x v="0"/>
    <x v="12"/>
    <d v="2024-11-27T00:00:00"/>
  </r>
  <r>
    <s v="ORD_0271 "/>
    <x v="8"/>
    <x v="0"/>
    <n v="125773"/>
    <n v="456944"/>
    <n v="331171"/>
    <x v="0"/>
    <x v="4"/>
    <d v="2024-12-03T00:00:00"/>
  </r>
  <r>
    <s v="ORD_0298 "/>
    <x v="7"/>
    <x v="3"/>
    <n v="40768"/>
    <n v="1031882"/>
    <n v="991114"/>
    <x v="0"/>
    <x v="10"/>
    <d v="2024-11-05T00:00:00"/>
  </r>
  <r>
    <s v="ORD_0323 "/>
    <x v="9"/>
    <x v="2"/>
    <n v="170105"/>
    <n v="1004575"/>
    <n v="834470"/>
    <x v="0"/>
    <x v="4"/>
    <d v="2024-11-02T00:00:00"/>
  </r>
  <r>
    <s v="ORD_0193 "/>
    <x v="2"/>
    <x v="3"/>
    <n v="83833"/>
    <n v="0"/>
    <s v=" "/>
    <x v="1"/>
    <x v="0"/>
    <d v="2024-11-06T00:00:00"/>
  </r>
  <r>
    <s v="ORD_0216 "/>
    <x v="4"/>
    <x v="2"/>
    <n v="80712"/>
    <n v="1937969"/>
    <n v="1857257"/>
    <x v="0"/>
    <x v="6"/>
    <d v="2024-12-11T00:00:00"/>
  </r>
  <r>
    <s v="ORD_0275 "/>
    <x v="4"/>
    <x v="0"/>
    <n v="40273"/>
    <n v="1440115"/>
    <n v="1399842"/>
    <x v="0"/>
    <x v="0"/>
    <d v="2024-10-23T00:00:00"/>
  </r>
  <r>
    <s v="ORD_0019 "/>
    <x v="0"/>
    <x v="3"/>
    <n v="77268"/>
    <n v="895608"/>
    <n v="818340"/>
    <x v="0"/>
    <x v="10"/>
    <d v="2024-12-15T00:00:00"/>
  </r>
  <r>
    <s v="ORD_0203 "/>
    <x v="7"/>
    <x v="3"/>
    <n v="46641"/>
    <n v="1403574"/>
    <n v="1356933"/>
    <x v="0"/>
    <x v="1"/>
    <d v="2024-10-31T00:00:00"/>
  </r>
  <r>
    <s v="ORD_0084 "/>
    <x v="1"/>
    <x v="0"/>
    <n v="50833"/>
    <n v="1484034"/>
    <n v="1433201"/>
    <x v="0"/>
    <x v="12"/>
    <d v="2024-10-19T00:00:00"/>
  </r>
  <r>
    <s v="ORD_0253 "/>
    <x v="0"/>
    <x v="0"/>
    <n v="89869"/>
    <n v="1450346"/>
    <n v="1360477"/>
    <x v="0"/>
    <x v="0"/>
    <d v="2024-12-02T00:00:00"/>
  </r>
  <r>
    <s v="ORD_0007 "/>
    <x v="2"/>
    <x v="1"/>
    <n v="26147"/>
    <n v="442787"/>
    <n v="416640"/>
    <x v="0"/>
    <x v="7"/>
    <d v="2024-12-10T00:00:00"/>
  </r>
  <r>
    <s v="ORD_0288 "/>
    <x v="4"/>
    <x v="3"/>
    <n v="99823"/>
    <n v="1694704"/>
    <n v="1594881"/>
    <x v="0"/>
    <x v="4"/>
    <d v="2024-11-27T00:00:00"/>
  </r>
  <r>
    <s v="ORD_0138 "/>
    <x v="9"/>
    <x v="3"/>
    <n v="23722"/>
    <n v="1893982"/>
    <n v="1870260"/>
    <x v="0"/>
    <x v="4"/>
    <d v="2024-11-04T00:00:00"/>
  </r>
  <r>
    <s v="ORD_0069 "/>
    <x v="4"/>
    <x v="2"/>
    <n v="94317"/>
    <n v="0"/>
    <s v=" "/>
    <x v="1"/>
    <x v="7"/>
    <d v="2024-11-09T00:00:00"/>
  </r>
  <r>
    <s v="ORD_0246 "/>
    <x v="6"/>
    <x v="0"/>
    <n v="55568"/>
    <n v="0"/>
    <s v=" "/>
    <x v="1"/>
    <x v="2"/>
    <d v="2024-12-01T00:00:00"/>
  </r>
  <r>
    <s v="ORD_0268 "/>
    <x v="0"/>
    <x v="0"/>
    <n v="98023"/>
    <n v="0"/>
    <s v=" "/>
    <x v="1"/>
    <x v="13"/>
    <d v="2024-11-15T00:00:00"/>
  </r>
  <r>
    <s v="ORD_0296 "/>
    <x v="4"/>
    <x v="3"/>
    <n v="70466"/>
    <n v="1811404"/>
    <n v="1740938"/>
    <x v="0"/>
    <x v="3"/>
    <d v="2024-12-30T00:00:00"/>
  </r>
  <r>
    <s v="ORD_0292 "/>
    <x v="2"/>
    <x v="1"/>
    <n v="8237"/>
    <n v="75578"/>
    <n v="67341"/>
    <x v="0"/>
    <x v="8"/>
    <d v="2024-12-17T00:00:00"/>
  </r>
  <r>
    <s v="ORD_0167 "/>
    <x v="0"/>
    <x v="2"/>
    <n v="128373"/>
    <n v="1318425"/>
    <n v="1190052"/>
    <x v="0"/>
    <x v="0"/>
    <d v="2024-10-08T00:00:00"/>
  </r>
  <r>
    <s v="ORD_0293 "/>
    <x v="5"/>
    <x v="1"/>
    <n v="14801"/>
    <n v="309991"/>
    <n v="295190"/>
    <x v="0"/>
    <x v="1"/>
    <d v="2024-12-11T00:00:00"/>
  </r>
  <r>
    <s v="ORD_0129 "/>
    <x v="4"/>
    <x v="0"/>
    <n v="88528"/>
    <n v="469339"/>
    <n v="380811"/>
    <x v="0"/>
    <x v="4"/>
    <d v="2024-10-20T00:00:00"/>
  </r>
  <r>
    <s v="ORD_0223 "/>
    <x v="0"/>
    <x v="0"/>
    <n v="50838"/>
    <n v="661154"/>
    <n v="610316"/>
    <x v="0"/>
    <x v="1"/>
    <d v="2024-11-04T00:00:00"/>
  </r>
  <r>
    <s v="ORD_0299 "/>
    <x v="6"/>
    <x v="3"/>
    <n v="48506"/>
    <n v="279998"/>
    <n v="231492"/>
    <x v="0"/>
    <x v="14"/>
    <d v="2024-10-20T00:00:00"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  <r>
    <m/>
    <x v="10"/>
    <x v="4"/>
    <m/>
    <m/>
    <m/>
    <x v="2"/>
    <x v="15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773F58-716E-485D-A0EC-B066E0B43D0C}" name="PivotTable10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79:D85" firstHeaderRow="1" firstDataRow="2" firstDataCol="1"/>
  <pivotFields count="9">
    <pivotField showAll="0"/>
    <pivotField showAll="0"/>
    <pivotField axis="axisRow" showAll="0">
      <items count="15">
        <item m="1" x="7"/>
        <item m="1" x="13"/>
        <item m="1" x="6"/>
        <item m="1" x="9"/>
        <item m="1" x="10"/>
        <item m="1" x="8"/>
        <item m="1" x="12"/>
        <item m="1" x="11"/>
        <item h="1" x="4"/>
        <item x="0"/>
        <item x="1"/>
        <item x="2"/>
        <item x="3"/>
        <item m="1" x="5"/>
        <item t="default"/>
      </items>
    </pivotField>
    <pivotField showAll="0"/>
    <pivotField showAll="0"/>
    <pivotField showAll="0"/>
    <pivotField axis="axisCol" dataField="1" showAll="0">
      <items count="4">
        <item x="1"/>
        <item x="0"/>
        <item x="2"/>
        <item t="default"/>
      </items>
    </pivotField>
    <pivotField showAll="0"/>
    <pivotField showAll="0"/>
  </pivotFields>
  <rowFields count="1">
    <field x="2"/>
  </rowFields>
  <rowItems count="5">
    <i>
      <x v="9"/>
    </i>
    <i>
      <x v="10"/>
    </i>
    <i>
      <x v="11"/>
    </i>
    <i>
      <x v="12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Count of Status" fld="6" subtotal="count" showDataAs="percentOfCol" baseField="2" baseItem="0" numFmtId="10"/>
  </dataFields>
  <chartFormats count="2"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D671FB-627A-44B6-90D3-77E239223412}" name="PivotTable9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53:B69" firstHeaderRow="1" firstDataRow="1" firstDataCol="1"/>
  <pivotFields count="9"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17">
        <item x="14"/>
        <item x="9"/>
        <item x="8"/>
        <item x="1"/>
        <item x="6"/>
        <item x="10"/>
        <item x="4"/>
        <item x="2"/>
        <item x="5"/>
        <item x="7"/>
        <item x="12"/>
        <item x="0"/>
        <item x="3"/>
        <item x="11"/>
        <item x="13"/>
        <item h="1" x="15"/>
        <item t="default"/>
      </items>
    </pivotField>
    <pivotField showAll="0"/>
  </pivotFields>
  <rowFields count="1">
    <field x="7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 of Revenue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B93103-C715-4739-A005-8153D0BE79DC}" name="PivotTable8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4:B42" firstHeaderRow="1" firstDataRow="1" firstDataCol="1"/>
  <pivotFields count="9">
    <pivotField showAll="0"/>
    <pivotField axis="axisRow" showAll="0">
      <items count="15">
        <item m="1" x="13"/>
        <item m="1" x="11"/>
        <item m="1" x="12"/>
        <item x="7"/>
        <item x="0"/>
        <item x="6"/>
        <item x="1"/>
        <item x="2"/>
        <item x="3"/>
        <item x="5"/>
        <item h="1" x="10"/>
        <item h="1" x="4"/>
        <item h="1" x="8"/>
        <item h="1" x="9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"/>
  </rowFields>
  <rowItems count="8"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Revenue" fld="4" baseField="0" baseItem="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35E077-62AF-40FC-BAE5-E7F43B5EC8AF}" name="PivotTable7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7:B22" firstHeaderRow="1" firstDataRow="1" firstDataCol="1" rowPageCount="1" colPageCount="1"/>
  <pivotFields count="9">
    <pivotField showAll="0"/>
    <pivotField showAll="0"/>
    <pivotField axis="axisRow" showAll="0">
      <items count="15">
        <item m="1" x="7"/>
        <item m="1" x="13"/>
        <item m="1" x="6"/>
        <item m="1" x="9"/>
        <item m="1" x="10"/>
        <item m="1" x="8"/>
        <item m="1" x="12"/>
        <item m="1" x="11"/>
        <item x="4"/>
        <item x="0"/>
        <item x="1"/>
        <item x="2"/>
        <item x="3"/>
        <item m="1" x="5"/>
        <item t="default"/>
      </items>
    </pivotField>
    <pivotField showAll="0"/>
    <pivotField showAll="0"/>
    <pivotField showAll="0"/>
    <pivotField axis="axisPage" dataField="1" showAll="0">
      <items count="4">
        <item x="1"/>
        <item x="0"/>
        <item x="2"/>
        <item t="default"/>
      </items>
    </pivotField>
    <pivotField showAll="0"/>
    <pivotField showAll="0"/>
  </pivotFields>
  <rowFields count="1">
    <field x="2"/>
  </rowFields>
  <rowItems count="5">
    <i>
      <x v="9"/>
    </i>
    <i>
      <x v="10"/>
    </i>
    <i>
      <x v="11"/>
    </i>
    <i>
      <x v="12"/>
    </i>
    <i t="grand">
      <x/>
    </i>
  </rowItems>
  <colItems count="1">
    <i/>
  </colItems>
  <pageFields count="1">
    <pageField fld="6" item="1" hier="-1"/>
  </pageFields>
  <dataFields count="1">
    <dataField name="Count of Status" fld="6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46F9D7-A03B-4344-A3FC-7122252CE5AB}" name="PivotTable6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D8" firstHeaderRow="0" firstDataRow="1" firstDataCol="1"/>
  <pivotFields count="9">
    <pivotField dataField="1" showAll="0"/>
    <pivotField showAll="0"/>
    <pivotField axis="axisRow" showAll="0">
      <items count="15">
        <item m="1" x="7"/>
        <item m="1" x="13"/>
        <item m="1" x="6"/>
        <item m="1" x="9"/>
        <item m="1" x="10"/>
        <item m="1" x="8"/>
        <item m="1" x="12"/>
        <item m="1" x="11"/>
        <item h="1" x="4"/>
        <item x="0"/>
        <item x="1"/>
        <item x="2"/>
        <item x="3"/>
        <item m="1" x="5"/>
        <item t="default"/>
      </items>
    </pivotField>
    <pivotField dataField="1" showAll="0"/>
    <pivotField dataField="1" showAll="0"/>
    <pivotField showAll="0"/>
    <pivotField showAll="0"/>
    <pivotField showAll="0"/>
    <pivotField showAll="0"/>
  </pivotFields>
  <rowFields count="1">
    <field x="2"/>
  </rowFields>
  <rowItems count="5">
    <i>
      <x v="9"/>
    </i>
    <i>
      <x v="10"/>
    </i>
    <i>
      <x v="11"/>
    </i>
    <i>
      <x v="1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" fld="4" baseField="0" baseItem="0"/>
    <dataField name="Count of Ma_Don" fld="0" subtotal="count" baseField="0" baseItem="0"/>
    <dataField name="Sum of Ad_Cost" fld="3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8DEC4-AF85-4177-9FA2-DF3BBE0DFD64}">
  <dimension ref="A3:D85"/>
  <sheetViews>
    <sheetView tabSelected="1" topLeftCell="A7" workbookViewId="0">
      <selection activeCell="L82" sqref="L82"/>
    </sheetView>
  </sheetViews>
  <sheetFormatPr defaultRowHeight="14.5" x14ac:dyDescent="0.35"/>
  <cols>
    <col min="1" max="1" width="14.36328125" bestFit="1" customWidth="1"/>
    <col min="2" max="2" width="15.26953125" bestFit="1" customWidth="1"/>
    <col min="3" max="5" width="10.7265625" bestFit="1" customWidth="1"/>
  </cols>
  <sheetData>
    <row r="3" spans="1:4" x14ac:dyDescent="0.35">
      <c r="A3" s="8" t="s">
        <v>359</v>
      </c>
      <c r="B3" t="s">
        <v>361</v>
      </c>
      <c r="C3" t="s">
        <v>363</v>
      </c>
      <c r="D3" t="s">
        <v>362</v>
      </c>
    </row>
    <row r="4" spans="1:4" x14ac:dyDescent="0.35">
      <c r="A4" s="9" t="s">
        <v>370</v>
      </c>
      <c r="B4" s="10">
        <v>118505837</v>
      </c>
      <c r="C4" s="10">
        <v>125</v>
      </c>
      <c r="D4" s="10">
        <v>11729571</v>
      </c>
    </row>
    <row r="5" spans="1:4" x14ac:dyDescent="0.35">
      <c r="A5" s="9" t="s">
        <v>369</v>
      </c>
      <c r="B5" s="10">
        <v>63976167</v>
      </c>
      <c r="C5" s="10">
        <v>79</v>
      </c>
      <c r="D5" s="10">
        <v>1226570</v>
      </c>
    </row>
    <row r="6" spans="1:4" x14ac:dyDescent="0.35">
      <c r="A6" s="9" t="s">
        <v>372</v>
      </c>
      <c r="B6" s="10">
        <v>59337756</v>
      </c>
      <c r="C6" s="10">
        <v>72</v>
      </c>
      <c r="D6" s="10">
        <v>8149866</v>
      </c>
    </row>
    <row r="7" spans="1:4" x14ac:dyDescent="0.35">
      <c r="A7" s="9" t="s">
        <v>371</v>
      </c>
      <c r="B7" s="10">
        <v>98515281</v>
      </c>
      <c r="C7" s="10">
        <v>102</v>
      </c>
      <c r="D7" s="10">
        <v>6475093</v>
      </c>
    </row>
    <row r="8" spans="1:4" x14ac:dyDescent="0.35">
      <c r="A8" s="9" t="s">
        <v>360</v>
      </c>
      <c r="B8" s="10">
        <v>340335041</v>
      </c>
      <c r="C8" s="10">
        <v>378</v>
      </c>
      <c r="D8" s="10">
        <v>27581100</v>
      </c>
    </row>
    <row r="15" spans="1:4" x14ac:dyDescent="0.35">
      <c r="A15" s="8" t="s">
        <v>2</v>
      </c>
      <c r="B15" t="s">
        <v>6</v>
      </c>
    </row>
    <row r="17" spans="1:2" x14ac:dyDescent="0.35">
      <c r="A17" s="8" t="s">
        <v>359</v>
      </c>
      <c r="B17" t="s">
        <v>364</v>
      </c>
    </row>
    <row r="18" spans="1:2" x14ac:dyDescent="0.35">
      <c r="A18" s="9" t="s">
        <v>370</v>
      </c>
      <c r="B18" s="10">
        <v>104</v>
      </c>
    </row>
    <row r="19" spans="1:2" x14ac:dyDescent="0.35">
      <c r="A19" s="9" t="s">
        <v>369</v>
      </c>
      <c r="B19" s="10">
        <v>62</v>
      </c>
    </row>
    <row r="20" spans="1:2" x14ac:dyDescent="0.35">
      <c r="A20" s="9" t="s">
        <v>372</v>
      </c>
      <c r="B20" s="10">
        <v>59</v>
      </c>
    </row>
    <row r="21" spans="1:2" x14ac:dyDescent="0.35">
      <c r="A21" s="9" t="s">
        <v>371</v>
      </c>
      <c r="B21" s="10">
        <v>86</v>
      </c>
    </row>
    <row r="22" spans="1:2" x14ac:dyDescent="0.35">
      <c r="A22" s="9" t="s">
        <v>360</v>
      </c>
      <c r="B22" s="10">
        <v>311</v>
      </c>
    </row>
    <row r="34" spans="1:2" x14ac:dyDescent="0.35">
      <c r="A34" s="8" t="s">
        <v>359</v>
      </c>
      <c r="B34" t="s">
        <v>361</v>
      </c>
    </row>
    <row r="35" spans="1:2" x14ac:dyDescent="0.35">
      <c r="A35" s="9" t="s">
        <v>24</v>
      </c>
      <c r="B35" s="10">
        <v>33652243</v>
      </c>
    </row>
    <row r="36" spans="1:2" x14ac:dyDescent="0.35">
      <c r="A36" s="9" t="s">
        <v>8</v>
      </c>
      <c r="B36" s="10">
        <v>39338311</v>
      </c>
    </row>
    <row r="37" spans="1:2" x14ac:dyDescent="0.35">
      <c r="A37" s="9" t="s">
        <v>22</v>
      </c>
      <c r="B37" s="10">
        <v>23420270</v>
      </c>
    </row>
    <row r="38" spans="1:2" x14ac:dyDescent="0.35">
      <c r="A38" s="9" t="s">
        <v>10</v>
      </c>
      <c r="B38" s="10">
        <v>39660874</v>
      </c>
    </row>
    <row r="39" spans="1:2" x14ac:dyDescent="0.35">
      <c r="A39" s="9" t="s">
        <v>13</v>
      </c>
      <c r="B39" s="10">
        <v>39402365</v>
      </c>
    </row>
    <row r="40" spans="1:2" x14ac:dyDescent="0.35">
      <c r="A40" s="9" t="s">
        <v>16</v>
      </c>
      <c r="B40" s="10">
        <v>34456828</v>
      </c>
    </row>
    <row r="41" spans="1:2" x14ac:dyDescent="0.35">
      <c r="A41" s="9" t="s">
        <v>20</v>
      </c>
      <c r="B41" s="10">
        <v>24997482</v>
      </c>
    </row>
    <row r="42" spans="1:2" x14ac:dyDescent="0.35">
      <c r="A42" s="9" t="s">
        <v>360</v>
      </c>
      <c r="B42" s="10">
        <v>234928373</v>
      </c>
    </row>
    <row r="53" spans="1:2" x14ac:dyDescent="0.35">
      <c r="A53" s="8" t="s">
        <v>359</v>
      </c>
      <c r="B53" t="s">
        <v>361</v>
      </c>
    </row>
    <row r="54" spans="1:2" x14ac:dyDescent="0.35">
      <c r="A54" s="9">
        <v>1</v>
      </c>
      <c r="B54" s="10">
        <v>279998</v>
      </c>
    </row>
    <row r="55" spans="1:2" x14ac:dyDescent="0.35">
      <c r="A55" s="9">
        <v>40</v>
      </c>
      <c r="B55" s="10">
        <v>21179001</v>
      </c>
    </row>
    <row r="56" spans="1:2" x14ac:dyDescent="0.35">
      <c r="A56" s="9">
        <v>41</v>
      </c>
      <c r="B56" s="10">
        <v>27773853</v>
      </c>
    </row>
    <row r="57" spans="1:2" x14ac:dyDescent="0.35">
      <c r="A57" s="9">
        <v>42</v>
      </c>
      <c r="B57" s="10">
        <v>21187771</v>
      </c>
    </row>
    <row r="58" spans="1:2" x14ac:dyDescent="0.35">
      <c r="A58" s="9">
        <v>43</v>
      </c>
      <c r="B58" s="10">
        <v>25880250</v>
      </c>
    </row>
    <row r="59" spans="1:2" x14ac:dyDescent="0.35">
      <c r="A59" s="9">
        <v>44</v>
      </c>
      <c r="B59" s="10">
        <v>31349020</v>
      </c>
    </row>
    <row r="60" spans="1:2" x14ac:dyDescent="0.35">
      <c r="A60" s="9">
        <v>45</v>
      </c>
      <c r="B60" s="10">
        <v>27806482</v>
      </c>
    </row>
    <row r="61" spans="1:2" x14ac:dyDescent="0.35">
      <c r="A61" s="9">
        <v>46</v>
      </c>
      <c r="B61" s="10">
        <v>28506358</v>
      </c>
    </row>
    <row r="62" spans="1:2" x14ac:dyDescent="0.35">
      <c r="A62" s="9">
        <v>47</v>
      </c>
      <c r="B62" s="10">
        <v>24425733</v>
      </c>
    </row>
    <row r="63" spans="1:2" x14ac:dyDescent="0.35">
      <c r="A63" s="9">
        <v>48</v>
      </c>
      <c r="B63" s="10">
        <v>17791472</v>
      </c>
    </row>
    <row r="64" spans="1:2" x14ac:dyDescent="0.35">
      <c r="A64" s="9">
        <v>49</v>
      </c>
      <c r="B64" s="10">
        <v>33610125</v>
      </c>
    </row>
    <row r="65" spans="1:4" x14ac:dyDescent="0.35">
      <c r="A65" s="9">
        <v>50</v>
      </c>
      <c r="B65" s="10">
        <v>31275052</v>
      </c>
    </row>
    <row r="66" spans="1:4" x14ac:dyDescent="0.35">
      <c r="A66" s="9">
        <v>51</v>
      </c>
      <c r="B66" s="10">
        <v>21603477</v>
      </c>
    </row>
    <row r="67" spans="1:4" x14ac:dyDescent="0.35">
      <c r="A67" s="9">
        <v>52</v>
      </c>
      <c r="B67" s="10">
        <v>19508640</v>
      </c>
    </row>
    <row r="68" spans="1:4" x14ac:dyDescent="0.35">
      <c r="A68" s="9">
        <v>53</v>
      </c>
      <c r="B68" s="10">
        <v>8157809</v>
      </c>
    </row>
    <row r="69" spans="1:4" x14ac:dyDescent="0.35">
      <c r="A69" s="9" t="s">
        <v>360</v>
      </c>
      <c r="B69" s="10">
        <v>340335041</v>
      </c>
    </row>
    <row r="79" spans="1:4" x14ac:dyDescent="0.35">
      <c r="A79" s="8" t="s">
        <v>364</v>
      </c>
      <c r="B79" s="8" t="s">
        <v>365</v>
      </c>
    </row>
    <row r="80" spans="1:4" x14ac:dyDescent="0.35">
      <c r="A80" s="8" t="s">
        <v>359</v>
      </c>
      <c r="B80" t="s">
        <v>4</v>
      </c>
      <c r="C80" t="s">
        <v>6</v>
      </c>
      <c r="D80" t="s">
        <v>360</v>
      </c>
    </row>
    <row r="81" spans="1:4" x14ac:dyDescent="0.35">
      <c r="A81" s="9" t="s">
        <v>370</v>
      </c>
      <c r="B81" s="11">
        <v>0.31343283582089554</v>
      </c>
      <c r="C81" s="11">
        <v>0.33440514469453375</v>
      </c>
      <c r="D81" s="11">
        <v>0.3306878306878307</v>
      </c>
    </row>
    <row r="82" spans="1:4" x14ac:dyDescent="0.35">
      <c r="A82" s="9" t="s">
        <v>369</v>
      </c>
      <c r="B82" s="11">
        <v>0.2537313432835821</v>
      </c>
      <c r="C82" s="11">
        <v>0.19935691318327975</v>
      </c>
      <c r="D82" s="11">
        <v>0.20899470899470898</v>
      </c>
    </row>
    <row r="83" spans="1:4" x14ac:dyDescent="0.35">
      <c r="A83" s="9" t="s">
        <v>372</v>
      </c>
      <c r="B83" s="11">
        <v>0.19402985074626866</v>
      </c>
      <c r="C83" s="11">
        <v>0.18971061093247588</v>
      </c>
      <c r="D83" s="11">
        <v>0.19047619047619047</v>
      </c>
    </row>
    <row r="84" spans="1:4" x14ac:dyDescent="0.35">
      <c r="A84" s="9" t="s">
        <v>371</v>
      </c>
      <c r="B84" s="11">
        <v>0.23880597014925373</v>
      </c>
      <c r="C84" s="11">
        <v>0.27652733118971062</v>
      </c>
      <c r="D84" s="11">
        <v>0.26984126984126983</v>
      </c>
    </row>
    <row r="85" spans="1:4" x14ac:dyDescent="0.35">
      <c r="A85" s="9" t="s">
        <v>360</v>
      </c>
      <c r="B85" s="11">
        <v>1</v>
      </c>
      <c r="C85" s="11">
        <v>1</v>
      </c>
      <c r="D85" s="11">
        <v>1</v>
      </c>
    </row>
  </sheetData>
  <pageMargins left="0.7" right="0.7" top="0.75" bottom="0.75" header="0.3" footer="0.3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topLeftCell="A238" workbookViewId="0">
      <selection activeCell="C161" sqref="C1:C1048576"/>
    </sheetView>
  </sheetViews>
  <sheetFormatPr defaultColWidth="14.453125" defaultRowHeight="15" customHeight="1" x14ac:dyDescent="0.35"/>
  <cols>
    <col min="1" max="1" width="11.6328125" bestFit="1" customWidth="1"/>
    <col min="2" max="2" width="15.54296875" bestFit="1" customWidth="1"/>
    <col min="3" max="3" width="14.81640625" bestFit="1" customWidth="1"/>
    <col min="4" max="4" width="18.7265625" customWidth="1"/>
    <col min="5" max="5" width="8" bestFit="1" customWidth="1"/>
    <col min="6" max="6" width="9.7265625" bestFit="1" customWidth="1"/>
    <col min="7" max="8" width="22.81640625" customWidth="1"/>
    <col min="9" max="9" width="17" style="6" customWidth="1"/>
    <col min="10" max="30" width="8.7265625" customWidth="1"/>
  </cols>
  <sheetData>
    <row r="1" spans="1:9" ht="14.25" customHeight="1" x14ac:dyDescent="0.35">
      <c r="A1" s="1" t="s">
        <v>354</v>
      </c>
      <c r="B1" s="1" t="s">
        <v>355</v>
      </c>
      <c r="C1" s="1" t="s">
        <v>356</v>
      </c>
      <c r="D1" s="1" t="s">
        <v>0</v>
      </c>
      <c r="E1" s="1" t="s">
        <v>1</v>
      </c>
      <c r="F1" s="1" t="s">
        <v>357</v>
      </c>
      <c r="G1" s="1" t="s">
        <v>2</v>
      </c>
      <c r="H1" s="1" t="s">
        <v>358</v>
      </c>
      <c r="I1" s="3" t="s">
        <v>3</v>
      </c>
    </row>
    <row r="2" spans="1:9" ht="14.25" customHeight="1" x14ac:dyDescent="0.35">
      <c r="A2" s="2" t="s">
        <v>7</v>
      </c>
      <c r="B2" s="2" t="s">
        <v>8</v>
      </c>
      <c r="C2" s="7" t="s">
        <v>370</v>
      </c>
      <c r="D2" s="2">
        <v>125114</v>
      </c>
      <c r="E2" s="2">
        <v>1232047</v>
      </c>
      <c r="F2" s="2">
        <f>IF(G2="Thành Công",E2-D2," " )</f>
        <v>1106933</v>
      </c>
      <c r="G2" s="2" t="s">
        <v>6</v>
      </c>
      <c r="H2" s="2">
        <f>WEEKNUM(I3,2)</f>
        <v>50</v>
      </c>
      <c r="I2" s="4">
        <v>45619</v>
      </c>
    </row>
    <row r="3" spans="1:9" ht="14.25" customHeight="1" x14ac:dyDescent="0.35">
      <c r="A3" s="2" t="s">
        <v>9</v>
      </c>
      <c r="B3" s="2" t="s">
        <v>10</v>
      </c>
      <c r="C3" s="2" t="s">
        <v>370</v>
      </c>
      <c r="D3" s="2">
        <v>61133</v>
      </c>
      <c r="E3" s="2">
        <v>0</v>
      </c>
      <c r="F3" s="2" t="str">
        <f t="shared" ref="F3:F66" si="0">IF(G3="Thành Công",E3-D3," " )</f>
        <v xml:space="preserve"> </v>
      </c>
      <c r="G3" s="2" t="s">
        <v>4</v>
      </c>
      <c r="H3" s="2">
        <f t="shared" ref="H3:H66" si="1">WEEKNUM(I4,2)</f>
        <v>42</v>
      </c>
      <c r="I3" s="4">
        <v>45641</v>
      </c>
    </row>
    <row r="4" spans="1:9" ht="14.25" customHeight="1" x14ac:dyDescent="0.35">
      <c r="A4" s="2" t="s">
        <v>11</v>
      </c>
      <c r="B4" s="2" t="s">
        <v>10</v>
      </c>
      <c r="C4" s="2" t="s">
        <v>369</v>
      </c>
      <c r="D4" s="2">
        <v>26822</v>
      </c>
      <c r="E4" s="2">
        <v>1453244</v>
      </c>
      <c r="F4" s="2">
        <f t="shared" si="0"/>
        <v>1426422</v>
      </c>
      <c r="G4" s="2" t="s">
        <v>6</v>
      </c>
      <c r="H4" s="2">
        <f t="shared" si="1"/>
        <v>46</v>
      </c>
      <c r="I4" s="4">
        <v>45585</v>
      </c>
    </row>
    <row r="5" spans="1:9" ht="14.25" customHeight="1" x14ac:dyDescent="0.35">
      <c r="A5" s="2" t="s">
        <v>12</v>
      </c>
      <c r="B5" s="2" t="s">
        <v>13</v>
      </c>
      <c r="C5" s="2" t="s">
        <v>370</v>
      </c>
      <c r="D5" s="2">
        <v>36733</v>
      </c>
      <c r="E5" s="2">
        <v>1939972</v>
      </c>
      <c r="F5" s="2">
        <f t="shared" si="0"/>
        <v>1903239</v>
      </c>
      <c r="G5" s="2" t="s">
        <v>5</v>
      </c>
      <c r="H5" s="2">
        <f t="shared" si="1"/>
        <v>50</v>
      </c>
      <c r="I5" s="4">
        <v>45612</v>
      </c>
    </row>
    <row r="6" spans="1:9" ht="14.25" customHeight="1" x14ac:dyDescent="0.35">
      <c r="A6" s="2" t="s">
        <v>14</v>
      </c>
      <c r="B6" s="2" t="s">
        <v>10</v>
      </c>
      <c r="C6" s="2" t="s">
        <v>369</v>
      </c>
      <c r="D6" s="2">
        <v>11573</v>
      </c>
      <c r="E6" s="2">
        <v>1774467</v>
      </c>
      <c r="F6" s="2">
        <f t="shared" si="0"/>
        <v>1762894</v>
      </c>
      <c r="G6" s="2" t="s">
        <v>5</v>
      </c>
      <c r="H6" s="2">
        <f t="shared" si="1"/>
        <v>51</v>
      </c>
      <c r="I6" s="5">
        <v>45637</v>
      </c>
    </row>
    <row r="7" spans="1:9" ht="14.25" customHeight="1" x14ac:dyDescent="0.35">
      <c r="A7" s="2" t="s">
        <v>15</v>
      </c>
      <c r="B7" s="2" t="s">
        <v>16</v>
      </c>
      <c r="C7" s="2" t="s">
        <v>372</v>
      </c>
      <c r="D7" s="2">
        <v>103141</v>
      </c>
      <c r="E7" s="2">
        <v>0</v>
      </c>
      <c r="F7" s="2" t="str">
        <f t="shared" si="0"/>
        <v xml:space="preserve"> </v>
      </c>
      <c r="G7" s="2" t="s">
        <v>4</v>
      </c>
      <c r="H7" s="2">
        <f t="shared" si="1"/>
        <v>45</v>
      </c>
      <c r="I7" s="4">
        <v>45646</v>
      </c>
    </row>
    <row r="8" spans="1:9" ht="14.25" customHeight="1" x14ac:dyDescent="0.35">
      <c r="A8" s="2" t="s">
        <v>17</v>
      </c>
      <c r="B8" s="2" t="s">
        <v>8</v>
      </c>
      <c r="C8" s="2" t="s">
        <v>370</v>
      </c>
      <c r="D8" s="2">
        <v>117796</v>
      </c>
      <c r="E8" s="2">
        <v>875995</v>
      </c>
      <c r="F8" s="2">
        <f t="shared" si="0"/>
        <v>758199</v>
      </c>
      <c r="G8" s="2" t="s">
        <v>6</v>
      </c>
      <c r="H8" s="2">
        <f t="shared" si="1"/>
        <v>42</v>
      </c>
      <c r="I8" s="5">
        <v>45600</v>
      </c>
    </row>
    <row r="9" spans="1:9" ht="14.25" customHeight="1" x14ac:dyDescent="0.35">
      <c r="A9" s="2" t="s">
        <v>18</v>
      </c>
      <c r="B9" s="2" t="s">
        <v>366</v>
      </c>
      <c r="C9" s="2" t="s">
        <v>372</v>
      </c>
      <c r="D9" s="2">
        <v>85550</v>
      </c>
      <c r="E9" s="2">
        <v>378936</v>
      </c>
      <c r="F9" s="2">
        <f t="shared" si="0"/>
        <v>293386</v>
      </c>
      <c r="G9" s="2" t="s">
        <v>6</v>
      </c>
      <c r="H9" s="2">
        <f t="shared" si="1"/>
        <v>47</v>
      </c>
      <c r="I9" s="4">
        <v>45581</v>
      </c>
    </row>
    <row r="10" spans="1:9" ht="14.25" customHeight="1" x14ac:dyDescent="0.35">
      <c r="A10" s="2" t="s">
        <v>19</v>
      </c>
      <c r="B10" s="2" t="s">
        <v>20</v>
      </c>
      <c r="C10" s="2" t="s">
        <v>372</v>
      </c>
      <c r="D10" s="2">
        <v>156402</v>
      </c>
      <c r="E10" s="2">
        <v>376836</v>
      </c>
      <c r="F10" s="2">
        <f t="shared" si="0"/>
        <v>220434</v>
      </c>
      <c r="G10" s="2" t="s">
        <v>5</v>
      </c>
      <c r="H10" s="2">
        <f t="shared" si="1"/>
        <v>43</v>
      </c>
      <c r="I10" s="4">
        <v>45616</v>
      </c>
    </row>
    <row r="11" spans="1:9" ht="14.25" customHeight="1" x14ac:dyDescent="0.35">
      <c r="A11" s="2" t="s">
        <v>21</v>
      </c>
      <c r="B11" s="2" t="s">
        <v>22</v>
      </c>
      <c r="C11" s="2" t="s">
        <v>370</v>
      </c>
      <c r="D11" s="2">
        <v>116280</v>
      </c>
      <c r="E11" s="2">
        <v>1285965</v>
      </c>
      <c r="F11" s="2">
        <f t="shared" si="0"/>
        <v>1169685</v>
      </c>
      <c r="G11" s="2" t="s">
        <v>5</v>
      </c>
      <c r="H11" s="2">
        <f t="shared" si="1"/>
        <v>45</v>
      </c>
      <c r="I11" s="4">
        <v>45586</v>
      </c>
    </row>
    <row r="12" spans="1:9" ht="14.25" customHeight="1" x14ac:dyDescent="0.35">
      <c r="A12" s="2" t="s">
        <v>23</v>
      </c>
      <c r="B12" s="2" t="s">
        <v>24</v>
      </c>
      <c r="C12" s="2" t="s">
        <v>372</v>
      </c>
      <c r="D12" s="2">
        <v>146834</v>
      </c>
      <c r="E12" s="2">
        <v>256412</v>
      </c>
      <c r="F12" s="2">
        <f t="shared" si="0"/>
        <v>109578</v>
      </c>
      <c r="G12" s="2" t="s">
        <v>5</v>
      </c>
      <c r="H12" s="2">
        <f t="shared" si="1"/>
        <v>46</v>
      </c>
      <c r="I12" s="5">
        <v>45605</v>
      </c>
    </row>
    <row r="13" spans="1:9" ht="14.25" customHeight="1" x14ac:dyDescent="0.35">
      <c r="A13" s="2" t="s">
        <v>25</v>
      </c>
      <c r="B13" s="2" t="s">
        <v>366</v>
      </c>
      <c r="C13" s="2" t="s">
        <v>371</v>
      </c>
      <c r="D13" s="2">
        <v>93792</v>
      </c>
      <c r="E13" s="2">
        <v>1698250</v>
      </c>
      <c r="F13" s="2">
        <f t="shared" si="0"/>
        <v>1604458</v>
      </c>
      <c r="G13" s="2" t="s">
        <v>5</v>
      </c>
      <c r="H13" s="2">
        <f t="shared" si="1"/>
        <v>45</v>
      </c>
      <c r="I13" s="4">
        <v>45611</v>
      </c>
    </row>
    <row r="14" spans="1:9" ht="14.25" customHeight="1" x14ac:dyDescent="0.35">
      <c r="A14" s="2" t="s">
        <v>26</v>
      </c>
      <c r="B14" s="2" t="s">
        <v>13</v>
      </c>
      <c r="C14" s="2" t="s">
        <v>371</v>
      </c>
      <c r="D14" s="2">
        <v>47964</v>
      </c>
      <c r="E14" s="2">
        <v>329468</v>
      </c>
      <c r="F14" s="2">
        <f t="shared" si="0"/>
        <v>281504</v>
      </c>
      <c r="G14" s="2" t="s">
        <v>5</v>
      </c>
      <c r="H14" s="2">
        <f t="shared" si="1"/>
        <v>48</v>
      </c>
      <c r="I14" s="5">
        <v>45601</v>
      </c>
    </row>
    <row r="15" spans="1:9" ht="14.25" customHeight="1" x14ac:dyDescent="0.35">
      <c r="A15" s="2" t="s">
        <v>27</v>
      </c>
      <c r="B15" s="2" t="s">
        <v>8</v>
      </c>
      <c r="C15" s="2" t="s">
        <v>372</v>
      </c>
      <c r="D15" s="2">
        <v>96372</v>
      </c>
      <c r="E15" s="2">
        <v>1490988</v>
      </c>
      <c r="F15" s="2">
        <f t="shared" si="0"/>
        <v>1394616</v>
      </c>
      <c r="G15" s="2" t="s">
        <v>6</v>
      </c>
      <c r="H15" s="2">
        <f t="shared" si="1"/>
        <v>41</v>
      </c>
      <c r="I15" s="4">
        <v>45623</v>
      </c>
    </row>
    <row r="16" spans="1:9" ht="14.25" customHeight="1" x14ac:dyDescent="0.35">
      <c r="A16" s="2" t="s">
        <v>28</v>
      </c>
      <c r="B16" s="2" t="s">
        <v>8</v>
      </c>
      <c r="C16" s="2" t="s">
        <v>371</v>
      </c>
      <c r="D16" s="2">
        <v>49932</v>
      </c>
      <c r="E16" s="2">
        <v>805516</v>
      </c>
      <c r="F16" s="2">
        <f t="shared" si="0"/>
        <v>755584</v>
      </c>
      <c r="G16" s="2" t="s">
        <v>6</v>
      </c>
      <c r="H16" s="2">
        <f t="shared" si="1"/>
        <v>50</v>
      </c>
      <c r="I16" s="5">
        <v>45575</v>
      </c>
    </row>
    <row r="17" spans="1:9" ht="14.25" customHeight="1" x14ac:dyDescent="0.35">
      <c r="A17" s="2" t="s">
        <v>29</v>
      </c>
      <c r="B17" s="2" t="s">
        <v>13</v>
      </c>
      <c r="C17" s="2" t="s">
        <v>372</v>
      </c>
      <c r="D17" s="2">
        <v>67368</v>
      </c>
      <c r="E17" s="2">
        <v>0</v>
      </c>
      <c r="F17" s="2" t="str">
        <f t="shared" si="0"/>
        <v xml:space="preserve"> </v>
      </c>
      <c r="G17" s="2" t="s">
        <v>4</v>
      </c>
      <c r="H17" s="2">
        <f t="shared" si="1"/>
        <v>42</v>
      </c>
      <c r="I17" s="4">
        <v>45640</v>
      </c>
    </row>
    <row r="18" spans="1:9" ht="14.25" customHeight="1" x14ac:dyDescent="0.35">
      <c r="A18" s="2" t="s">
        <v>30</v>
      </c>
      <c r="B18" s="2" t="s">
        <v>22</v>
      </c>
      <c r="C18" s="2" t="s">
        <v>369</v>
      </c>
      <c r="D18" s="2">
        <v>25418</v>
      </c>
      <c r="E18" s="2">
        <v>342139</v>
      </c>
      <c r="F18" s="2">
        <f t="shared" si="0"/>
        <v>316721</v>
      </c>
      <c r="G18" s="2" t="s">
        <v>5</v>
      </c>
      <c r="H18" s="2">
        <f t="shared" si="1"/>
        <v>40</v>
      </c>
      <c r="I18" s="4">
        <v>45580</v>
      </c>
    </row>
    <row r="19" spans="1:9" ht="14.25" customHeight="1" x14ac:dyDescent="0.35">
      <c r="A19" s="2" t="s">
        <v>31</v>
      </c>
      <c r="B19" s="2" t="s">
        <v>13</v>
      </c>
      <c r="C19" s="2" t="s">
        <v>369</v>
      </c>
      <c r="D19" s="2">
        <v>25017</v>
      </c>
      <c r="E19" s="2">
        <v>380396</v>
      </c>
      <c r="F19" s="2">
        <f t="shared" si="0"/>
        <v>355379</v>
      </c>
      <c r="G19" s="2" t="s">
        <v>6</v>
      </c>
      <c r="H19" s="2">
        <f t="shared" si="1"/>
        <v>42</v>
      </c>
      <c r="I19" s="5">
        <v>45571</v>
      </c>
    </row>
    <row r="20" spans="1:9" ht="14.25" customHeight="1" x14ac:dyDescent="0.35">
      <c r="A20" s="2" t="s">
        <v>32</v>
      </c>
      <c r="B20" s="2" t="s">
        <v>16</v>
      </c>
      <c r="C20" s="2" t="s">
        <v>372</v>
      </c>
      <c r="D20" s="2">
        <v>166956</v>
      </c>
      <c r="E20" s="7">
        <v>0</v>
      </c>
      <c r="F20" s="2" t="str">
        <f t="shared" si="0"/>
        <v xml:space="preserve"> </v>
      </c>
      <c r="G20" s="2" t="s">
        <v>4</v>
      </c>
      <c r="H20" s="2">
        <f t="shared" si="1"/>
        <v>45</v>
      </c>
      <c r="I20" s="4">
        <v>45580</v>
      </c>
    </row>
    <row r="21" spans="1:9" ht="14.25" customHeight="1" x14ac:dyDescent="0.35">
      <c r="A21" s="2" t="s">
        <v>33</v>
      </c>
      <c r="B21" s="2" t="s">
        <v>22</v>
      </c>
      <c r="C21" s="2" t="s">
        <v>372</v>
      </c>
      <c r="D21" s="2">
        <v>155532</v>
      </c>
      <c r="E21" s="2">
        <v>1933313</v>
      </c>
      <c r="F21" s="2">
        <f t="shared" si="0"/>
        <v>1777781</v>
      </c>
      <c r="G21" s="2" t="s">
        <v>5</v>
      </c>
      <c r="H21" s="2">
        <f t="shared" si="1"/>
        <v>44</v>
      </c>
      <c r="I21" s="5">
        <v>45602</v>
      </c>
    </row>
    <row r="22" spans="1:9" ht="14.25" customHeight="1" x14ac:dyDescent="0.35">
      <c r="A22" s="2" t="s">
        <v>34</v>
      </c>
      <c r="B22" s="2" t="s">
        <v>367</v>
      </c>
      <c r="C22" s="2" t="s">
        <v>369</v>
      </c>
      <c r="D22" s="2">
        <v>16972</v>
      </c>
      <c r="E22" s="2">
        <v>360473</v>
      </c>
      <c r="F22" s="2">
        <f t="shared" si="0"/>
        <v>343501</v>
      </c>
      <c r="G22" s="2" t="s">
        <v>6</v>
      </c>
      <c r="H22" s="2">
        <f t="shared" si="1"/>
        <v>40</v>
      </c>
      <c r="I22" s="5">
        <v>45599</v>
      </c>
    </row>
    <row r="23" spans="1:9" ht="14.25" customHeight="1" x14ac:dyDescent="0.35">
      <c r="A23" s="2" t="s">
        <v>35</v>
      </c>
      <c r="B23" s="2" t="s">
        <v>13</v>
      </c>
      <c r="C23" s="2" t="s">
        <v>371</v>
      </c>
      <c r="D23" s="2">
        <v>91337</v>
      </c>
      <c r="E23" s="2">
        <v>1073103</v>
      </c>
      <c r="F23" s="2">
        <f t="shared" si="0"/>
        <v>981766</v>
      </c>
      <c r="G23" s="2" t="s">
        <v>5</v>
      </c>
      <c r="H23" s="2">
        <f t="shared" si="1"/>
        <v>44</v>
      </c>
      <c r="I23" s="5">
        <v>45569</v>
      </c>
    </row>
    <row r="24" spans="1:9" ht="14.25" customHeight="1" x14ac:dyDescent="0.35">
      <c r="A24" s="2" t="s">
        <v>36</v>
      </c>
      <c r="B24" s="2" t="s">
        <v>8</v>
      </c>
      <c r="C24" s="2" t="s">
        <v>370</v>
      </c>
      <c r="D24" s="2">
        <v>54558</v>
      </c>
      <c r="E24" s="2">
        <v>995104</v>
      </c>
      <c r="F24" s="2">
        <f t="shared" si="0"/>
        <v>940546</v>
      </c>
      <c r="G24" s="2" t="s">
        <v>6</v>
      </c>
      <c r="H24" s="2">
        <f t="shared" si="1"/>
        <v>51</v>
      </c>
      <c r="I24" s="5">
        <v>45597</v>
      </c>
    </row>
    <row r="25" spans="1:9" ht="14.25" customHeight="1" x14ac:dyDescent="0.35">
      <c r="A25" s="2" t="s">
        <v>37</v>
      </c>
      <c r="B25" s="2" t="s">
        <v>368</v>
      </c>
      <c r="C25" s="2" t="s">
        <v>372</v>
      </c>
      <c r="D25" s="2">
        <v>67251</v>
      </c>
      <c r="E25" s="2">
        <v>1052035</v>
      </c>
      <c r="F25" s="2">
        <f t="shared" si="0"/>
        <v>984784</v>
      </c>
      <c r="G25" s="2" t="s">
        <v>6</v>
      </c>
      <c r="H25" s="2">
        <f t="shared" si="1"/>
        <v>45</v>
      </c>
      <c r="I25" s="4">
        <v>45646</v>
      </c>
    </row>
    <row r="26" spans="1:9" ht="14.25" customHeight="1" x14ac:dyDescent="0.35">
      <c r="A26" s="2" t="s">
        <v>38</v>
      </c>
      <c r="B26" s="2" t="s">
        <v>22</v>
      </c>
      <c r="C26" s="2" t="s">
        <v>372</v>
      </c>
      <c r="D26" s="2">
        <v>67200</v>
      </c>
      <c r="E26" s="2">
        <v>1612562</v>
      </c>
      <c r="F26" s="2">
        <f t="shared" si="0"/>
        <v>1545362</v>
      </c>
      <c r="G26" s="2" t="s">
        <v>5</v>
      </c>
      <c r="H26" s="2">
        <f t="shared" si="1"/>
        <v>43</v>
      </c>
      <c r="I26" s="5">
        <v>45605</v>
      </c>
    </row>
    <row r="27" spans="1:9" ht="14.25" customHeight="1" x14ac:dyDescent="0.35">
      <c r="A27" s="2" t="s">
        <v>39</v>
      </c>
      <c r="B27" s="2" t="s">
        <v>366</v>
      </c>
      <c r="C27" s="2" t="s">
        <v>370</v>
      </c>
      <c r="D27" s="2">
        <v>83074</v>
      </c>
      <c r="E27" s="2">
        <v>0</v>
      </c>
      <c r="F27" s="2" t="str">
        <f t="shared" si="0"/>
        <v xml:space="preserve"> </v>
      </c>
      <c r="G27" s="2" t="s">
        <v>4</v>
      </c>
      <c r="H27" s="2">
        <f t="shared" si="1"/>
        <v>52</v>
      </c>
      <c r="I27" s="4">
        <v>45589</v>
      </c>
    </row>
    <row r="28" spans="1:9" ht="14.25" customHeight="1" x14ac:dyDescent="0.35">
      <c r="A28" s="2" t="s">
        <v>40</v>
      </c>
      <c r="B28" s="2" t="s">
        <v>366</v>
      </c>
      <c r="C28" s="2" t="s">
        <v>371</v>
      </c>
      <c r="D28" s="2">
        <v>24234</v>
      </c>
      <c r="E28" s="2">
        <v>926936</v>
      </c>
      <c r="F28" s="2">
        <f t="shared" si="0"/>
        <v>902702</v>
      </c>
      <c r="G28" s="2" t="s">
        <v>6</v>
      </c>
      <c r="H28" s="2">
        <f t="shared" si="1"/>
        <v>40</v>
      </c>
      <c r="I28" s="4">
        <v>45653</v>
      </c>
    </row>
    <row r="29" spans="1:9" ht="14.25" customHeight="1" x14ac:dyDescent="0.35">
      <c r="A29" s="2" t="s">
        <v>41</v>
      </c>
      <c r="B29" s="2" t="s">
        <v>10</v>
      </c>
      <c r="C29" s="2" t="s">
        <v>370</v>
      </c>
      <c r="D29" s="2">
        <v>126085</v>
      </c>
      <c r="E29" s="2">
        <v>561231</v>
      </c>
      <c r="F29" s="2">
        <f t="shared" si="0"/>
        <v>435146</v>
      </c>
      <c r="G29" s="2" t="s">
        <v>5</v>
      </c>
      <c r="H29" s="2">
        <f t="shared" si="1"/>
        <v>51</v>
      </c>
      <c r="I29" s="5">
        <v>45568</v>
      </c>
    </row>
    <row r="30" spans="1:9" ht="14.25" customHeight="1" x14ac:dyDescent="0.35">
      <c r="A30" s="2" t="s">
        <v>42</v>
      </c>
      <c r="B30" s="2" t="s">
        <v>22</v>
      </c>
      <c r="C30" s="2" t="s">
        <v>371</v>
      </c>
      <c r="D30" s="2">
        <v>87422</v>
      </c>
      <c r="E30" s="2">
        <v>1436718</v>
      </c>
      <c r="F30" s="2">
        <f t="shared" si="0"/>
        <v>1349296</v>
      </c>
      <c r="G30" s="2" t="s">
        <v>6</v>
      </c>
      <c r="H30" s="2">
        <f t="shared" si="1"/>
        <v>49</v>
      </c>
      <c r="I30" s="4">
        <v>45646</v>
      </c>
    </row>
    <row r="31" spans="1:9" ht="14.25" customHeight="1" x14ac:dyDescent="0.35">
      <c r="A31" s="2" t="s">
        <v>43</v>
      </c>
      <c r="B31" s="2" t="s">
        <v>22</v>
      </c>
      <c r="C31" s="2" t="s">
        <v>371</v>
      </c>
      <c r="D31" s="2">
        <v>30597</v>
      </c>
      <c r="E31" s="2">
        <v>1077051</v>
      </c>
      <c r="F31" s="2">
        <f t="shared" si="0"/>
        <v>1046454</v>
      </c>
      <c r="G31" s="2" t="s">
        <v>6</v>
      </c>
      <c r="H31" s="2">
        <f t="shared" si="1"/>
        <v>49</v>
      </c>
      <c r="I31" s="5">
        <v>45633</v>
      </c>
    </row>
    <row r="32" spans="1:9" ht="14.25" customHeight="1" x14ac:dyDescent="0.35">
      <c r="A32" s="2" t="s">
        <v>44</v>
      </c>
      <c r="B32" s="2" t="s">
        <v>16</v>
      </c>
      <c r="C32" s="2" t="s">
        <v>371</v>
      </c>
      <c r="D32" s="2">
        <v>82557</v>
      </c>
      <c r="E32" s="2">
        <v>1302666</v>
      </c>
      <c r="F32" s="2">
        <f t="shared" si="0"/>
        <v>1220109</v>
      </c>
      <c r="G32" s="2" t="s">
        <v>6</v>
      </c>
      <c r="H32" s="2">
        <f t="shared" si="1"/>
        <v>46</v>
      </c>
      <c r="I32" s="5">
        <v>45634</v>
      </c>
    </row>
    <row r="33" spans="1:9" ht="14.25" customHeight="1" x14ac:dyDescent="0.35">
      <c r="A33" s="2" t="s">
        <v>45</v>
      </c>
      <c r="B33" s="2" t="s">
        <v>366</v>
      </c>
      <c r="C33" s="2" t="s">
        <v>372</v>
      </c>
      <c r="D33" s="2">
        <v>58311</v>
      </c>
      <c r="E33" s="2">
        <v>1746739</v>
      </c>
      <c r="F33" s="2">
        <f t="shared" si="0"/>
        <v>1688428</v>
      </c>
      <c r="G33" s="2" t="s">
        <v>6</v>
      </c>
      <c r="H33" s="2">
        <f t="shared" si="1"/>
        <v>43</v>
      </c>
      <c r="I33" s="5">
        <v>45608</v>
      </c>
    </row>
    <row r="34" spans="1:9" ht="14.25" customHeight="1" x14ac:dyDescent="0.35">
      <c r="A34" s="2" t="s">
        <v>46</v>
      </c>
      <c r="B34" s="2" t="s">
        <v>20</v>
      </c>
      <c r="C34" s="2" t="s">
        <v>371</v>
      </c>
      <c r="D34" s="2">
        <v>53272</v>
      </c>
      <c r="E34" s="2">
        <v>1596681</v>
      </c>
      <c r="F34" s="2">
        <f t="shared" si="0"/>
        <v>1543409</v>
      </c>
      <c r="G34" s="2" t="s">
        <v>6</v>
      </c>
      <c r="H34" s="2">
        <f t="shared" si="1"/>
        <v>46</v>
      </c>
      <c r="I34" s="4">
        <v>45587</v>
      </c>
    </row>
    <row r="35" spans="1:9" ht="14.25" customHeight="1" x14ac:dyDescent="0.35">
      <c r="A35" s="2" t="s">
        <v>47</v>
      </c>
      <c r="B35" s="2" t="s">
        <v>22</v>
      </c>
      <c r="C35" s="2" t="s">
        <v>372</v>
      </c>
      <c r="D35" s="2">
        <v>81606</v>
      </c>
      <c r="E35" s="2">
        <v>288004</v>
      </c>
      <c r="F35" s="2">
        <f t="shared" si="0"/>
        <v>206398</v>
      </c>
      <c r="G35" s="2" t="s">
        <v>5</v>
      </c>
      <c r="H35" s="2">
        <f t="shared" si="1"/>
        <v>42</v>
      </c>
      <c r="I35" s="5">
        <v>45608</v>
      </c>
    </row>
    <row r="36" spans="1:9" ht="14.25" customHeight="1" x14ac:dyDescent="0.35">
      <c r="A36" s="2" t="s">
        <v>48</v>
      </c>
      <c r="B36" s="2" t="s">
        <v>16</v>
      </c>
      <c r="C36" s="2" t="s">
        <v>370</v>
      </c>
      <c r="D36" s="2">
        <v>48074</v>
      </c>
      <c r="E36" s="2">
        <v>338806</v>
      </c>
      <c r="F36" s="2">
        <f t="shared" si="0"/>
        <v>290732</v>
      </c>
      <c r="G36" s="2" t="s">
        <v>6</v>
      </c>
      <c r="H36" s="2">
        <f t="shared" si="1"/>
        <v>43</v>
      </c>
      <c r="I36" s="4">
        <v>45580</v>
      </c>
    </row>
    <row r="37" spans="1:9" ht="14.25" customHeight="1" x14ac:dyDescent="0.35">
      <c r="A37" s="2" t="s">
        <v>49</v>
      </c>
      <c r="B37" s="2" t="s">
        <v>24</v>
      </c>
      <c r="C37" s="2" t="s">
        <v>370</v>
      </c>
      <c r="D37" s="2">
        <v>52465</v>
      </c>
      <c r="E37" s="2">
        <v>802089</v>
      </c>
      <c r="F37" s="2">
        <f t="shared" si="0"/>
        <v>749624</v>
      </c>
      <c r="G37" s="2" t="s">
        <v>6</v>
      </c>
      <c r="H37" s="2">
        <f t="shared" si="1"/>
        <v>46</v>
      </c>
      <c r="I37" s="4">
        <v>45592</v>
      </c>
    </row>
    <row r="38" spans="1:9" ht="14.25" customHeight="1" x14ac:dyDescent="0.35">
      <c r="A38" s="2" t="s">
        <v>50</v>
      </c>
      <c r="B38" s="2" t="s">
        <v>8</v>
      </c>
      <c r="C38" s="2" t="s">
        <v>369</v>
      </c>
      <c r="D38" s="2">
        <v>5038</v>
      </c>
      <c r="E38" s="2">
        <v>446658</v>
      </c>
      <c r="F38" s="2">
        <f t="shared" si="0"/>
        <v>441620</v>
      </c>
      <c r="G38" s="2" t="s">
        <v>6</v>
      </c>
      <c r="H38" s="2">
        <f t="shared" si="1"/>
        <v>41</v>
      </c>
      <c r="I38" s="4">
        <v>45611</v>
      </c>
    </row>
    <row r="39" spans="1:9" ht="14.25" customHeight="1" x14ac:dyDescent="0.35">
      <c r="A39" s="2" t="s">
        <v>51</v>
      </c>
      <c r="B39" s="2" t="s">
        <v>8</v>
      </c>
      <c r="C39" s="2" t="s">
        <v>369</v>
      </c>
      <c r="D39" s="2">
        <v>7824</v>
      </c>
      <c r="E39" s="2">
        <v>1264199</v>
      </c>
      <c r="F39" s="2">
        <f t="shared" si="0"/>
        <v>1256375</v>
      </c>
      <c r="G39" s="2" t="s">
        <v>5</v>
      </c>
      <c r="H39" s="2">
        <f t="shared" si="1"/>
        <v>51</v>
      </c>
      <c r="I39" s="5">
        <v>45572</v>
      </c>
    </row>
    <row r="40" spans="1:9" ht="14.25" customHeight="1" x14ac:dyDescent="0.35">
      <c r="A40" s="2" t="s">
        <v>52</v>
      </c>
      <c r="B40" s="2" t="s">
        <v>10</v>
      </c>
      <c r="C40" s="2" t="s">
        <v>370</v>
      </c>
      <c r="D40" s="2">
        <v>110808</v>
      </c>
      <c r="E40" s="2">
        <v>386222</v>
      </c>
      <c r="F40" s="2">
        <f t="shared" si="0"/>
        <v>275414</v>
      </c>
      <c r="G40" s="2" t="s">
        <v>5</v>
      </c>
      <c r="H40" s="2">
        <f t="shared" si="1"/>
        <v>49</v>
      </c>
      <c r="I40" s="4">
        <v>45646</v>
      </c>
    </row>
    <row r="41" spans="1:9" ht="14.25" customHeight="1" x14ac:dyDescent="0.35">
      <c r="A41" s="2" t="s">
        <v>53</v>
      </c>
      <c r="B41" s="2" t="s">
        <v>367</v>
      </c>
      <c r="C41" s="2" t="s">
        <v>370</v>
      </c>
      <c r="D41" s="2">
        <v>124873</v>
      </c>
      <c r="E41" s="2">
        <v>1396454</v>
      </c>
      <c r="F41" s="2">
        <f t="shared" si="0"/>
        <v>1271581</v>
      </c>
      <c r="G41" s="2" t="s">
        <v>5</v>
      </c>
      <c r="H41" s="2">
        <f t="shared" si="1"/>
        <v>45</v>
      </c>
      <c r="I41" s="5">
        <v>45633</v>
      </c>
    </row>
    <row r="42" spans="1:9" ht="14.25" customHeight="1" x14ac:dyDescent="0.35">
      <c r="A42" s="2" t="s">
        <v>54</v>
      </c>
      <c r="B42" s="2" t="s">
        <v>13</v>
      </c>
      <c r="C42" s="2" t="s">
        <v>370</v>
      </c>
      <c r="D42" s="2">
        <v>63220</v>
      </c>
      <c r="E42" s="2">
        <v>1782419</v>
      </c>
      <c r="F42" s="2">
        <f t="shared" si="0"/>
        <v>1719199</v>
      </c>
      <c r="G42" s="2" t="s">
        <v>6</v>
      </c>
      <c r="H42" s="2">
        <f t="shared" si="1"/>
        <v>43</v>
      </c>
      <c r="I42" s="5">
        <v>45605</v>
      </c>
    </row>
    <row r="43" spans="1:9" ht="14.25" customHeight="1" x14ac:dyDescent="0.35">
      <c r="A43" s="2" t="s">
        <v>55</v>
      </c>
      <c r="B43" s="2" t="s">
        <v>20</v>
      </c>
      <c r="C43" s="2" t="s">
        <v>370</v>
      </c>
      <c r="D43" s="2">
        <v>127343</v>
      </c>
      <c r="E43" s="2">
        <v>1625136</v>
      </c>
      <c r="F43" s="2">
        <f t="shared" si="0"/>
        <v>1497793</v>
      </c>
      <c r="G43" s="2" t="s">
        <v>5</v>
      </c>
      <c r="H43" s="2">
        <f t="shared" si="1"/>
        <v>50</v>
      </c>
      <c r="I43" s="4">
        <v>45590</v>
      </c>
    </row>
    <row r="44" spans="1:9" ht="14.25" customHeight="1" x14ac:dyDescent="0.35">
      <c r="A44" s="2" t="s">
        <v>56</v>
      </c>
      <c r="B44" s="2" t="s">
        <v>13</v>
      </c>
      <c r="C44" s="2" t="s">
        <v>370</v>
      </c>
      <c r="D44" s="2">
        <v>148010</v>
      </c>
      <c r="E44" s="2">
        <v>63473</v>
      </c>
      <c r="F44" s="2">
        <f t="shared" si="0"/>
        <v>-84537</v>
      </c>
      <c r="G44" s="2" t="s">
        <v>6</v>
      </c>
      <c r="H44" s="2">
        <f t="shared" si="1"/>
        <v>51</v>
      </c>
      <c r="I44" s="5">
        <v>45635</v>
      </c>
    </row>
    <row r="45" spans="1:9" ht="14.25" customHeight="1" x14ac:dyDescent="0.35">
      <c r="A45" s="2" t="s">
        <v>57</v>
      </c>
      <c r="B45" s="2" t="s">
        <v>8</v>
      </c>
      <c r="C45" s="2" t="s">
        <v>370</v>
      </c>
      <c r="D45" s="2">
        <v>119748</v>
      </c>
      <c r="E45" s="2">
        <v>216309</v>
      </c>
      <c r="F45" s="2">
        <f t="shared" si="0"/>
        <v>96561</v>
      </c>
      <c r="G45" s="2" t="s">
        <v>5</v>
      </c>
      <c r="H45" s="2">
        <f t="shared" si="1"/>
        <v>43</v>
      </c>
      <c r="I45" s="4">
        <v>45647</v>
      </c>
    </row>
    <row r="46" spans="1:9" ht="14.25" customHeight="1" x14ac:dyDescent="0.35">
      <c r="A46" s="2" t="s">
        <v>58</v>
      </c>
      <c r="B46" s="2" t="s">
        <v>8</v>
      </c>
      <c r="C46" s="2" t="s">
        <v>369</v>
      </c>
      <c r="D46" s="2">
        <v>8840</v>
      </c>
      <c r="E46" s="2">
        <v>1662171</v>
      </c>
      <c r="F46" s="2">
        <f t="shared" si="0"/>
        <v>1653331</v>
      </c>
      <c r="G46" s="2" t="s">
        <v>6</v>
      </c>
      <c r="H46" s="2">
        <f t="shared" si="1"/>
        <v>49</v>
      </c>
      <c r="I46" s="4">
        <v>45589</v>
      </c>
    </row>
    <row r="47" spans="1:9" ht="14.25" customHeight="1" x14ac:dyDescent="0.35">
      <c r="A47" s="2" t="s">
        <v>59</v>
      </c>
      <c r="B47" s="2" t="s">
        <v>367</v>
      </c>
      <c r="C47" s="2" t="s">
        <v>372</v>
      </c>
      <c r="D47" s="2">
        <v>160671</v>
      </c>
      <c r="E47" s="2">
        <v>501263</v>
      </c>
      <c r="F47" s="2">
        <f t="shared" si="0"/>
        <v>340592</v>
      </c>
      <c r="G47" s="2" t="s">
        <v>6</v>
      </c>
      <c r="H47" s="2">
        <f t="shared" si="1"/>
        <v>50</v>
      </c>
      <c r="I47" s="5">
        <v>45630</v>
      </c>
    </row>
    <row r="48" spans="1:9" ht="14.25" customHeight="1" x14ac:dyDescent="0.35">
      <c r="A48" s="2" t="s">
        <v>60</v>
      </c>
      <c r="B48" s="2" t="s">
        <v>16</v>
      </c>
      <c r="C48" s="7" t="s">
        <v>371</v>
      </c>
      <c r="D48" s="2">
        <v>44589</v>
      </c>
      <c r="E48" s="2">
        <v>0</v>
      </c>
      <c r="F48" s="2" t="str">
        <f t="shared" si="0"/>
        <v xml:space="preserve"> </v>
      </c>
      <c r="G48" s="2" t="s">
        <v>4</v>
      </c>
      <c r="H48" s="2">
        <f t="shared" si="1"/>
        <v>52</v>
      </c>
      <c r="I48" s="5">
        <v>45638</v>
      </c>
    </row>
    <row r="49" spans="1:9" ht="14.25" customHeight="1" x14ac:dyDescent="0.35">
      <c r="A49" s="2" t="s">
        <v>61</v>
      </c>
      <c r="B49" s="2" t="s">
        <v>366</v>
      </c>
      <c r="C49" s="2" t="s">
        <v>370</v>
      </c>
      <c r="D49" s="2">
        <v>99973</v>
      </c>
      <c r="E49" s="2">
        <v>0</v>
      </c>
      <c r="F49" s="2" t="str">
        <f t="shared" si="0"/>
        <v xml:space="preserve"> </v>
      </c>
      <c r="G49" s="2" t="s">
        <v>4</v>
      </c>
      <c r="H49" s="2">
        <f t="shared" si="1"/>
        <v>52</v>
      </c>
      <c r="I49" s="4">
        <v>45649</v>
      </c>
    </row>
    <row r="50" spans="1:9" ht="14.25" customHeight="1" x14ac:dyDescent="0.35">
      <c r="A50" s="2" t="s">
        <v>62</v>
      </c>
      <c r="B50" s="2" t="s">
        <v>24</v>
      </c>
      <c r="C50" s="7" t="s">
        <v>370</v>
      </c>
      <c r="D50" s="2">
        <v>112655</v>
      </c>
      <c r="E50" s="2">
        <v>0</v>
      </c>
      <c r="F50" s="2" t="str">
        <f t="shared" si="0"/>
        <v xml:space="preserve"> </v>
      </c>
      <c r="G50" s="2" t="s">
        <v>4</v>
      </c>
      <c r="H50" s="2">
        <f t="shared" si="1"/>
        <v>41</v>
      </c>
      <c r="I50" s="4">
        <v>45649</v>
      </c>
    </row>
    <row r="51" spans="1:9" ht="14.25" customHeight="1" x14ac:dyDescent="0.35">
      <c r="A51" s="2" t="s">
        <v>63</v>
      </c>
      <c r="B51" s="2" t="s">
        <v>368</v>
      </c>
      <c r="C51" s="2" t="s">
        <v>370</v>
      </c>
      <c r="D51" s="2">
        <v>53743</v>
      </c>
      <c r="E51" s="2">
        <v>1543749</v>
      </c>
      <c r="F51" s="2">
        <f t="shared" si="0"/>
        <v>1490006</v>
      </c>
      <c r="G51" s="2" t="s">
        <v>6</v>
      </c>
      <c r="H51" s="2">
        <f t="shared" si="1"/>
        <v>40</v>
      </c>
      <c r="I51" s="5">
        <v>45576</v>
      </c>
    </row>
    <row r="52" spans="1:9" ht="14.25" customHeight="1" x14ac:dyDescent="0.35">
      <c r="A52" s="2" t="s">
        <v>64</v>
      </c>
      <c r="B52" s="2" t="s">
        <v>366</v>
      </c>
      <c r="C52" s="7" t="s">
        <v>369</v>
      </c>
      <c r="D52" s="2">
        <v>17838</v>
      </c>
      <c r="E52" s="2">
        <v>955113</v>
      </c>
      <c r="F52" s="2">
        <f t="shared" si="0"/>
        <v>937275</v>
      </c>
      <c r="G52" s="2" t="s">
        <v>5</v>
      </c>
      <c r="H52" s="2">
        <f t="shared" si="1"/>
        <v>41</v>
      </c>
      <c r="I52" s="5">
        <v>45568</v>
      </c>
    </row>
    <row r="53" spans="1:9" ht="14.25" customHeight="1" x14ac:dyDescent="0.35">
      <c r="A53" s="2" t="s">
        <v>65</v>
      </c>
      <c r="B53" s="2" t="s">
        <v>24</v>
      </c>
      <c r="C53" s="2" t="s">
        <v>370</v>
      </c>
      <c r="D53" s="2">
        <v>136783</v>
      </c>
      <c r="E53" s="2">
        <v>0</v>
      </c>
      <c r="F53" s="2" t="str">
        <f t="shared" si="0"/>
        <v xml:space="preserve"> </v>
      </c>
      <c r="G53" s="2" t="s">
        <v>4</v>
      </c>
      <c r="H53" s="2">
        <f t="shared" si="1"/>
        <v>48</v>
      </c>
      <c r="I53" s="5">
        <v>45576</v>
      </c>
    </row>
    <row r="54" spans="1:9" ht="14.25" customHeight="1" x14ac:dyDescent="0.35">
      <c r="A54" s="2" t="s">
        <v>66</v>
      </c>
      <c r="B54" s="2" t="s">
        <v>20</v>
      </c>
      <c r="C54" s="2" t="s">
        <v>371</v>
      </c>
      <c r="D54" s="2">
        <v>62458</v>
      </c>
      <c r="E54" s="2">
        <v>1884887</v>
      </c>
      <c r="F54" s="2">
        <f t="shared" si="0"/>
        <v>1822429</v>
      </c>
      <c r="G54" s="2" t="s">
        <v>6</v>
      </c>
      <c r="H54" s="2">
        <f t="shared" si="1"/>
        <v>41</v>
      </c>
      <c r="I54" s="4">
        <v>45621</v>
      </c>
    </row>
    <row r="55" spans="1:9" ht="14.25" customHeight="1" x14ac:dyDescent="0.35">
      <c r="A55" s="2" t="s">
        <v>67</v>
      </c>
      <c r="B55" s="2" t="s">
        <v>368</v>
      </c>
      <c r="C55" s="2" t="s">
        <v>370</v>
      </c>
      <c r="D55" s="2">
        <v>126243</v>
      </c>
      <c r="E55" s="2">
        <v>318224</v>
      </c>
      <c r="F55" s="2">
        <f t="shared" si="0"/>
        <v>191981</v>
      </c>
      <c r="G55" s="2" t="s">
        <v>5</v>
      </c>
      <c r="H55" s="2">
        <f t="shared" si="1"/>
        <v>40</v>
      </c>
      <c r="I55" s="5">
        <v>45574</v>
      </c>
    </row>
    <row r="56" spans="1:9" ht="14.25" customHeight="1" x14ac:dyDescent="0.35">
      <c r="A56" s="2" t="s">
        <v>68</v>
      </c>
      <c r="B56" s="2" t="s">
        <v>10</v>
      </c>
      <c r="C56" s="2" t="s">
        <v>370</v>
      </c>
      <c r="D56" s="2">
        <v>63330</v>
      </c>
      <c r="E56" s="2">
        <v>1729898</v>
      </c>
      <c r="F56" s="2">
        <f t="shared" si="0"/>
        <v>1666568</v>
      </c>
      <c r="G56" s="2" t="s">
        <v>5</v>
      </c>
      <c r="H56" s="2">
        <f t="shared" si="1"/>
        <v>48</v>
      </c>
      <c r="I56" s="5">
        <v>45567</v>
      </c>
    </row>
    <row r="57" spans="1:9" ht="14.25" customHeight="1" x14ac:dyDescent="0.35">
      <c r="A57" s="2" t="s">
        <v>69</v>
      </c>
      <c r="B57" s="2" t="s">
        <v>24</v>
      </c>
      <c r="C57" s="7" t="s">
        <v>372</v>
      </c>
      <c r="D57" s="2">
        <v>58461</v>
      </c>
      <c r="E57" s="2">
        <v>0</v>
      </c>
      <c r="F57" s="2" t="str">
        <f t="shared" si="0"/>
        <v xml:space="preserve"> </v>
      </c>
      <c r="G57" s="2" t="s">
        <v>4</v>
      </c>
      <c r="H57" s="2">
        <f t="shared" si="1"/>
        <v>41</v>
      </c>
      <c r="I57" s="4">
        <v>45624</v>
      </c>
    </row>
    <row r="58" spans="1:9" ht="14.25" customHeight="1" x14ac:dyDescent="0.35">
      <c r="A58" s="2" t="s">
        <v>70</v>
      </c>
      <c r="B58" s="2" t="s">
        <v>13</v>
      </c>
      <c r="C58" s="2" t="s">
        <v>369</v>
      </c>
      <c r="D58" s="2">
        <v>28649</v>
      </c>
      <c r="E58" s="2">
        <v>524848</v>
      </c>
      <c r="F58" s="2">
        <f t="shared" si="0"/>
        <v>496199</v>
      </c>
      <c r="G58" s="2" t="s">
        <v>5</v>
      </c>
      <c r="H58" s="2">
        <f t="shared" si="1"/>
        <v>42</v>
      </c>
      <c r="I58" s="5">
        <v>45574</v>
      </c>
    </row>
    <row r="59" spans="1:9" ht="14.25" customHeight="1" x14ac:dyDescent="0.35">
      <c r="A59" s="2" t="s">
        <v>71</v>
      </c>
      <c r="B59" s="2" t="s">
        <v>24</v>
      </c>
      <c r="C59" s="2" t="s">
        <v>371</v>
      </c>
      <c r="D59" s="2">
        <v>49330</v>
      </c>
      <c r="E59" s="2">
        <v>0</v>
      </c>
      <c r="F59" s="2" t="str">
        <f t="shared" si="0"/>
        <v xml:space="preserve"> </v>
      </c>
      <c r="G59" s="2" t="s">
        <v>4</v>
      </c>
      <c r="H59" s="2">
        <f t="shared" si="1"/>
        <v>51</v>
      </c>
      <c r="I59" s="4">
        <v>45582</v>
      </c>
    </row>
    <row r="60" spans="1:9" ht="14.25" customHeight="1" x14ac:dyDescent="0.35">
      <c r="A60" s="2" t="s">
        <v>72</v>
      </c>
      <c r="B60" s="2" t="s">
        <v>22</v>
      </c>
      <c r="C60" s="2" t="s">
        <v>372</v>
      </c>
      <c r="D60" s="2">
        <v>80219</v>
      </c>
      <c r="E60" s="2">
        <v>862604</v>
      </c>
      <c r="F60" s="2">
        <f t="shared" si="0"/>
        <v>782385</v>
      </c>
      <c r="G60" s="2" t="s">
        <v>5</v>
      </c>
      <c r="H60" s="2">
        <f t="shared" si="1"/>
        <v>49</v>
      </c>
      <c r="I60" s="4">
        <v>45646</v>
      </c>
    </row>
    <row r="61" spans="1:9" ht="14.25" customHeight="1" x14ac:dyDescent="0.35">
      <c r="A61" s="2" t="s">
        <v>73</v>
      </c>
      <c r="B61" s="2" t="s">
        <v>22</v>
      </c>
      <c r="C61" s="2" t="s">
        <v>372</v>
      </c>
      <c r="D61" s="2">
        <v>110645</v>
      </c>
      <c r="E61" s="2">
        <v>1137479</v>
      </c>
      <c r="F61" s="2">
        <f t="shared" si="0"/>
        <v>1026834</v>
      </c>
      <c r="G61" s="2" t="s">
        <v>6</v>
      </c>
      <c r="H61" s="2">
        <f t="shared" si="1"/>
        <v>43</v>
      </c>
      <c r="I61" s="5">
        <v>45628</v>
      </c>
    </row>
    <row r="62" spans="1:9" ht="14.25" customHeight="1" x14ac:dyDescent="0.35">
      <c r="A62" s="2" t="s">
        <v>74</v>
      </c>
      <c r="B62" s="2" t="s">
        <v>368</v>
      </c>
      <c r="C62" s="2" t="s">
        <v>371</v>
      </c>
      <c r="D62" s="2">
        <v>85682</v>
      </c>
      <c r="E62" s="2">
        <v>1124647</v>
      </c>
      <c r="F62" s="2">
        <f t="shared" si="0"/>
        <v>1038965</v>
      </c>
      <c r="G62" s="2" t="s">
        <v>6</v>
      </c>
      <c r="H62" s="2">
        <f t="shared" si="1"/>
        <v>43</v>
      </c>
      <c r="I62" s="4">
        <v>45588</v>
      </c>
    </row>
    <row r="63" spans="1:9" ht="14.25" customHeight="1" x14ac:dyDescent="0.35">
      <c r="A63" s="2" t="s">
        <v>75</v>
      </c>
      <c r="B63" s="2" t="s">
        <v>10</v>
      </c>
      <c r="C63" s="2" t="s">
        <v>370</v>
      </c>
      <c r="D63" s="2">
        <v>40279</v>
      </c>
      <c r="E63" s="2">
        <v>852393</v>
      </c>
      <c r="F63" s="2">
        <f t="shared" si="0"/>
        <v>812114</v>
      </c>
      <c r="G63" s="2" t="s">
        <v>6</v>
      </c>
      <c r="H63" s="2">
        <f t="shared" si="1"/>
        <v>44</v>
      </c>
      <c r="I63" s="4">
        <v>45588</v>
      </c>
    </row>
    <row r="64" spans="1:9" ht="14.25" customHeight="1" x14ac:dyDescent="0.35">
      <c r="A64" s="2" t="s">
        <v>76</v>
      </c>
      <c r="B64" s="2" t="s">
        <v>8</v>
      </c>
      <c r="C64" s="2" t="s">
        <v>371</v>
      </c>
      <c r="D64" s="2">
        <v>63335</v>
      </c>
      <c r="E64" s="2">
        <v>861484</v>
      </c>
      <c r="F64" s="2">
        <f t="shared" si="0"/>
        <v>798149</v>
      </c>
      <c r="G64" s="2" t="s">
        <v>5</v>
      </c>
      <c r="H64" s="2">
        <f t="shared" si="1"/>
        <v>50</v>
      </c>
      <c r="I64" s="5">
        <v>45598</v>
      </c>
    </row>
    <row r="65" spans="1:9" ht="14.25" customHeight="1" x14ac:dyDescent="0.35">
      <c r="A65" s="2" t="s">
        <v>77</v>
      </c>
      <c r="B65" s="2" t="s">
        <v>8</v>
      </c>
      <c r="C65" s="2" t="s">
        <v>372</v>
      </c>
      <c r="D65" s="2">
        <v>131933</v>
      </c>
      <c r="E65" s="2">
        <v>629171</v>
      </c>
      <c r="F65" s="2">
        <f t="shared" si="0"/>
        <v>497238</v>
      </c>
      <c r="G65" s="2" t="s">
        <v>6</v>
      </c>
      <c r="H65" s="2">
        <f t="shared" si="1"/>
        <v>40</v>
      </c>
      <c r="I65" s="4">
        <v>45640</v>
      </c>
    </row>
    <row r="66" spans="1:9" ht="14.25" customHeight="1" x14ac:dyDescent="0.35">
      <c r="A66" s="2" t="s">
        <v>78</v>
      </c>
      <c r="B66" s="2" t="s">
        <v>368</v>
      </c>
      <c r="C66" s="2" t="s">
        <v>369</v>
      </c>
      <c r="D66" s="2">
        <v>14704</v>
      </c>
      <c r="E66" s="2">
        <v>1594757</v>
      </c>
      <c r="F66" s="2">
        <f t="shared" si="0"/>
        <v>1580053</v>
      </c>
      <c r="G66" s="2" t="s">
        <v>6</v>
      </c>
      <c r="H66" s="2">
        <f t="shared" si="1"/>
        <v>42</v>
      </c>
      <c r="I66" s="5">
        <v>45570</v>
      </c>
    </row>
    <row r="67" spans="1:9" ht="14.25" customHeight="1" x14ac:dyDescent="0.35">
      <c r="A67" s="2" t="s">
        <v>79</v>
      </c>
      <c r="B67" s="2" t="s">
        <v>366</v>
      </c>
      <c r="C67" s="2" t="s">
        <v>369</v>
      </c>
      <c r="D67" s="2">
        <v>10225</v>
      </c>
      <c r="E67" s="2">
        <v>0</v>
      </c>
      <c r="F67" s="2" t="str">
        <f t="shared" ref="F67:F130" si="2">IF(G67="Thành Công",E67-D67," " )</f>
        <v xml:space="preserve"> </v>
      </c>
      <c r="G67" s="2" t="s">
        <v>4</v>
      </c>
      <c r="H67" s="2">
        <f t="shared" ref="H67:H130" si="3">WEEKNUM(I68,2)</f>
        <v>42</v>
      </c>
      <c r="I67" s="4">
        <v>45582</v>
      </c>
    </row>
    <row r="68" spans="1:9" ht="14.25" customHeight="1" x14ac:dyDescent="0.35">
      <c r="A68" s="2" t="s">
        <v>80</v>
      </c>
      <c r="B68" s="2" t="s">
        <v>8</v>
      </c>
      <c r="C68" s="2" t="s">
        <v>370</v>
      </c>
      <c r="D68" s="2">
        <v>123825</v>
      </c>
      <c r="E68" s="2">
        <v>868461</v>
      </c>
      <c r="F68" s="2">
        <f t="shared" si="2"/>
        <v>744636</v>
      </c>
      <c r="G68" s="2" t="s">
        <v>6</v>
      </c>
      <c r="H68" s="2">
        <f t="shared" si="3"/>
        <v>51</v>
      </c>
      <c r="I68" s="4">
        <v>45583</v>
      </c>
    </row>
    <row r="69" spans="1:9" ht="14.25" customHeight="1" x14ac:dyDescent="0.35">
      <c r="A69" s="2" t="s">
        <v>81</v>
      </c>
      <c r="B69" s="2" t="s">
        <v>368</v>
      </c>
      <c r="C69" s="2" t="s">
        <v>370</v>
      </c>
      <c r="D69" s="2">
        <v>145799</v>
      </c>
      <c r="E69" s="2">
        <v>793863</v>
      </c>
      <c r="F69" s="2">
        <f t="shared" si="2"/>
        <v>648064</v>
      </c>
      <c r="G69" s="2" t="s">
        <v>6</v>
      </c>
      <c r="H69" s="2">
        <f t="shared" si="3"/>
        <v>45</v>
      </c>
      <c r="I69" s="4">
        <v>45646</v>
      </c>
    </row>
    <row r="70" spans="1:9" ht="14.25" customHeight="1" x14ac:dyDescent="0.35">
      <c r="A70" s="2" t="s">
        <v>82</v>
      </c>
      <c r="B70" s="2" t="s">
        <v>16</v>
      </c>
      <c r="C70" s="2" t="s">
        <v>370</v>
      </c>
      <c r="D70" s="2">
        <v>35321</v>
      </c>
      <c r="E70" s="2">
        <v>1628834</v>
      </c>
      <c r="F70" s="2">
        <f t="shared" si="2"/>
        <v>1593513</v>
      </c>
      <c r="G70" s="2" t="s">
        <v>6</v>
      </c>
      <c r="H70" s="2">
        <f t="shared" si="3"/>
        <v>47</v>
      </c>
      <c r="I70" s="5">
        <v>45603</v>
      </c>
    </row>
    <row r="71" spans="1:9" ht="14.25" customHeight="1" x14ac:dyDescent="0.35">
      <c r="A71" s="2" t="s">
        <v>83</v>
      </c>
      <c r="B71" s="2" t="s">
        <v>16</v>
      </c>
      <c r="C71" s="2" t="s">
        <v>371</v>
      </c>
      <c r="D71" s="2">
        <v>29282</v>
      </c>
      <c r="E71" s="2">
        <v>1492638</v>
      </c>
      <c r="F71" s="2">
        <f t="shared" si="2"/>
        <v>1463356</v>
      </c>
      <c r="G71" s="2" t="s">
        <v>5</v>
      </c>
      <c r="H71" s="2">
        <f t="shared" si="3"/>
        <v>44</v>
      </c>
      <c r="I71" s="4">
        <v>45615</v>
      </c>
    </row>
    <row r="72" spans="1:9" ht="14.25" customHeight="1" x14ac:dyDescent="0.35">
      <c r="A72" s="2" t="s">
        <v>84</v>
      </c>
      <c r="B72" s="2" t="s">
        <v>13</v>
      </c>
      <c r="C72" s="2" t="s">
        <v>370</v>
      </c>
      <c r="D72" s="2">
        <v>144606</v>
      </c>
      <c r="E72" s="2">
        <v>490364</v>
      </c>
      <c r="F72" s="2">
        <f t="shared" si="2"/>
        <v>345758</v>
      </c>
      <c r="G72" s="2" t="s">
        <v>5</v>
      </c>
      <c r="H72" s="2">
        <f t="shared" si="3"/>
        <v>43</v>
      </c>
      <c r="I72" s="5">
        <v>45598</v>
      </c>
    </row>
    <row r="73" spans="1:9" ht="14.25" customHeight="1" x14ac:dyDescent="0.35">
      <c r="A73" s="2" t="s">
        <v>74</v>
      </c>
      <c r="B73" s="2" t="s">
        <v>368</v>
      </c>
      <c r="C73" s="2" t="s">
        <v>371</v>
      </c>
      <c r="D73" s="2">
        <v>85682</v>
      </c>
      <c r="E73" s="2">
        <v>1124647</v>
      </c>
      <c r="F73" s="2">
        <f t="shared" si="2"/>
        <v>1038965</v>
      </c>
      <c r="G73" s="2" t="s">
        <v>6</v>
      </c>
      <c r="H73" s="2">
        <f t="shared" si="3"/>
        <v>43</v>
      </c>
      <c r="I73" s="4">
        <v>45588</v>
      </c>
    </row>
    <row r="74" spans="1:9" ht="14.25" customHeight="1" x14ac:dyDescent="0.35">
      <c r="A74" s="2" t="s">
        <v>85</v>
      </c>
      <c r="B74" s="2" t="s">
        <v>10</v>
      </c>
      <c r="C74" s="2" t="s">
        <v>371</v>
      </c>
      <c r="D74" s="2">
        <v>80820</v>
      </c>
      <c r="E74" s="2">
        <v>23944</v>
      </c>
      <c r="F74" s="2">
        <f t="shared" si="2"/>
        <v>-56876</v>
      </c>
      <c r="G74" s="2" t="s">
        <v>5</v>
      </c>
      <c r="H74" s="2">
        <f t="shared" si="3"/>
        <v>40</v>
      </c>
      <c r="I74" s="4">
        <v>45592</v>
      </c>
    </row>
    <row r="75" spans="1:9" ht="14.25" customHeight="1" x14ac:dyDescent="0.35">
      <c r="A75" s="2" t="s">
        <v>86</v>
      </c>
      <c r="B75" s="2" t="s">
        <v>366</v>
      </c>
      <c r="C75" s="2" t="s">
        <v>371</v>
      </c>
      <c r="D75" s="2">
        <v>68511</v>
      </c>
      <c r="E75" s="2">
        <v>1477550</v>
      </c>
      <c r="F75" s="2">
        <f t="shared" si="2"/>
        <v>1409039</v>
      </c>
      <c r="G75" s="2" t="s">
        <v>5</v>
      </c>
      <c r="H75" s="2">
        <f t="shared" si="3"/>
        <v>52</v>
      </c>
      <c r="I75" s="5">
        <v>45567</v>
      </c>
    </row>
    <row r="76" spans="1:9" ht="14.25" customHeight="1" x14ac:dyDescent="0.35">
      <c r="A76" s="2" t="s">
        <v>87</v>
      </c>
      <c r="B76" s="2" t="s">
        <v>20</v>
      </c>
      <c r="C76" s="2" t="s">
        <v>371</v>
      </c>
      <c r="D76" s="2">
        <v>38104</v>
      </c>
      <c r="E76" s="2">
        <v>1921763</v>
      </c>
      <c r="F76" s="2">
        <f t="shared" si="2"/>
        <v>1883659</v>
      </c>
      <c r="G76" s="2" t="s">
        <v>6</v>
      </c>
      <c r="H76" s="2">
        <f t="shared" si="3"/>
        <v>49</v>
      </c>
      <c r="I76" s="4">
        <v>45654</v>
      </c>
    </row>
    <row r="77" spans="1:9" ht="14.25" customHeight="1" x14ac:dyDescent="0.35">
      <c r="A77" s="2" t="s">
        <v>88</v>
      </c>
      <c r="B77" s="2" t="s">
        <v>24</v>
      </c>
      <c r="C77" s="2" t="s">
        <v>371</v>
      </c>
      <c r="D77" s="2">
        <v>37481</v>
      </c>
      <c r="E77" s="2">
        <v>0</v>
      </c>
      <c r="F77" s="2" t="str">
        <f t="shared" si="2"/>
        <v xml:space="preserve"> </v>
      </c>
      <c r="G77" s="2" t="s">
        <v>4</v>
      </c>
      <c r="H77" s="2">
        <f t="shared" si="3"/>
        <v>43</v>
      </c>
      <c r="I77" s="5">
        <v>45632</v>
      </c>
    </row>
    <row r="78" spans="1:9" ht="14.25" customHeight="1" x14ac:dyDescent="0.35">
      <c r="A78" s="2" t="s">
        <v>89</v>
      </c>
      <c r="B78" s="2" t="s">
        <v>366</v>
      </c>
      <c r="C78" s="2" t="s">
        <v>372</v>
      </c>
      <c r="D78" s="2">
        <v>55584</v>
      </c>
      <c r="E78" s="2">
        <v>0</v>
      </c>
      <c r="F78" s="2" t="str">
        <f t="shared" si="2"/>
        <v xml:space="preserve"> </v>
      </c>
      <c r="G78" s="2" t="s">
        <v>4</v>
      </c>
      <c r="H78" s="2">
        <f t="shared" si="3"/>
        <v>44</v>
      </c>
      <c r="I78" s="4">
        <v>45586</v>
      </c>
    </row>
    <row r="79" spans="1:9" ht="14.25" customHeight="1" x14ac:dyDescent="0.35">
      <c r="A79" s="2" t="s">
        <v>90</v>
      </c>
      <c r="B79" s="2" t="s">
        <v>13</v>
      </c>
      <c r="C79" s="2" t="s">
        <v>371</v>
      </c>
      <c r="D79" s="2">
        <v>63897</v>
      </c>
      <c r="E79" s="2">
        <v>0</v>
      </c>
      <c r="F79" s="2" t="str">
        <f t="shared" si="2"/>
        <v xml:space="preserve"> </v>
      </c>
      <c r="G79" s="2" t="s">
        <v>4</v>
      </c>
      <c r="H79" s="2">
        <f t="shared" si="3"/>
        <v>40</v>
      </c>
      <c r="I79" s="5">
        <v>45597</v>
      </c>
    </row>
    <row r="80" spans="1:9" ht="14.25" customHeight="1" x14ac:dyDescent="0.35">
      <c r="A80" s="2" t="s">
        <v>91</v>
      </c>
      <c r="B80" s="2" t="s">
        <v>13</v>
      </c>
      <c r="C80" s="2" t="s">
        <v>370</v>
      </c>
      <c r="D80" s="2">
        <v>128951</v>
      </c>
      <c r="E80" s="2">
        <v>1536302</v>
      </c>
      <c r="F80" s="2">
        <f t="shared" si="2"/>
        <v>1407351</v>
      </c>
      <c r="G80" s="2" t="s">
        <v>6</v>
      </c>
      <c r="H80" s="2">
        <f t="shared" si="3"/>
        <v>44</v>
      </c>
      <c r="I80" s="5">
        <v>45570</v>
      </c>
    </row>
    <row r="81" spans="1:9" ht="14.25" customHeight="1" x14ac:dyDescent="0.35">
      <c r="A81" s="2" t="s">
        <v>92</v>
      </c>
      <c r="B81" s="2" t="s">
        <v>13</v>
      </c>
      <c r="C81" s="2" t="s">
        <v>370</v>
      </c>
      <c r="D81" s="2">
        <v>45618</v>
      </c>
      <c r="E81" s="2">
        <v>1896831</v>
      </c>
      <c r="F81" s="2">
        <f t="shared" si="2"/>
        <v>1851213</v>
      </c>
      <c r="G81" s="2" t="s">
        <v>5</v>
      </c>
      <c r="H81" s="2">
        <f t="shared" si="3"/>
        <v>45</v>
      </c>
      <c r="I81" s="4">
        <v>45596</v>
      </c>
    </row>
    <row r="82" spans="1:9" ht="14.25" customHeight="1" x14ac:dyDescent="0.35">
      <c r="A82" s="2" t="s">
        <v>93</v>
      </c>
      <c r="B82" s="2" t="s">
        <v>367</v>
      </c>
      <c r="C82" s="2" t="s">
        <v>370</v>
      </c>
      <c r="D82" s="2">
        <v>66337</v>
      </c>
      <c r="E82" s="2">
        <v>1400771</v>
      </c>
      <c r="F82" s="2">
        <f t="shared" si="2"/>
        <v>1334434</v>
      </c>
      <c r="G82" s="2" t="s">
        <v>5</v>
      </c>
      <c r="H82" s="2">
        <f t="shared" si="3"/>
        <v>45</v>
      </c>
      <c r="I82" s="5">
        <v>45603</v>
      </c>
    </row>
    <row r="83" spans="1:9" ht="14.25" customHeight="1" x14ac:dyDescent="0.35">
      <c r="A83" s="2" t="s">
        <v>94</v>
      </c>
      <c r="B83" s="2" t="s">
        <v>368</v>
      </c>
      <c r="C83" s="2" t="s">
        <v>371</v>
      </c>
      <c r="D83" s="2">
        <v>64220</v>
      </c>
      <c r="E83" s="2">
        <v>955691</v>
      </c>
      <c r="F83" s="2">
        <f t="shared" si="2"/>
        <v>891471</v>
      </c>
      <c r="G83" s="2" t="s">
        <v>5</v>
      </c>
      <c r="H83" s="2">
        <f t="shared" si="3"/>
        <v>46</v>
      </c>
      <c r="I83" s="5">
        <v>45601</v>
      </c>
    </row>
    <row r="84" spans="1:9" ht="14.25" customHeight="1" x14ac:dyDescent="0.35">
      <c r="A84" s="2" t="s">
        <v>95</v>
      </c>
      <c r="B84" s="2" t="s">
        <v>10</v>
      </c>
      <c r="C84" s="2" t="s">
        <v>371</v>
      </c>
      <c r="D84" s="2">
        <v>98625</v>
      </c>
      <c r="E84" s="2">
        <v>285833</v>
      </c>
      <c r="F84" s="2">
        <f t="shared" si="2"/>
        <v>187208</v>
      </c>
      <c r="G84" s="2" t="s">
        <v>5</v>
      </c>
      <c r="H84" s="2">
        <f t="shared" si="3"/>
        <v>44</v>
      </c>
      <c r="I84" s="4">
        <v>45610</v>
      </c>
    </row>
    <row r="85" spans="1:9" ht="14.25" customHeight="1" x14ac:dyDescent="0.35">
      <c r="A85" s="2" t="s">
        <v>96</v>
      </c>
      <c r="B85" s="2" t="s">
        <v>16</v>
      </c>
      <c r="C85" s="2" t="s">
        <v>372</v>
      </c>
      <c r="D85" s="2">
        <v>71331</v>
      </c>
      <c r="E85" s="2">
        <v>0</v>
      </c>
      <c r="F85" s="2" t="str">
        <f t="shared" si="2"/>
        <v xml:space="preserve"> </v>
      </c>
      <c r="G85" s="2" t="s">
        <v>4</v>
      </c>
      <c r="H85" s="2">
        <f t="shared" si="3"/>
        <v>48</v>
      </c>
      <c r="I85" s="5">
        <v>45599</v>
      </c>
    </row>
    <row r="86" spans="1:9" ht="14.25" customHeight="1" x14ac:dyDescent="0.35">
      <c r="A86" s="2" t="s">
        <v>97</v>
      </c>
      <c r="B86" s="2" t="s">
        <v>366</v>
      </c>
      <c r="C86" s="2" t="s">
        <v>369</v>
      </c>
      <c r="D86" s="2">
        <v>18059</v>
      </c>
      <c r="E86" s="2">
        <v>202208</v>
      </c>
      <c r="F86" s="2">
        <f t="shared" si="2"/>
        <v>184149</v>
      </c>
      <c r="G86" s="2" t="s">
        <v>5</v>
      </c>
      <c r="H86" s="2">
        <f t="shared" si="3"/>
        <v>42</v>
      </c>
      <c r="I86" s="4">
        <v>45623</v>
      </c>
    </row>
    <row r="87" spans="1:9" ht="14.25" customHeight="1" x14ac:dyDescent="0.35">
      <c r="A87" s="2" t="s">
        <v>98</v>
      </c>
      <c r="B87" s="2" t="s">
        <v>13</v>
      </c>
      <c r="C87" s="2" t="s">
        <v>371</v>
      </c>
      <c r="D87" s="2">
        <v>93129</v>
      </c>
      <c r="E87" s="2">
        <v>1391121</v>
      </c>
      <c r="F87" s="2">
        <f t="shared" si="2"/>
        <v>1297992</v>
      </c>
      <c r="G87" s="2" t="s">
        <v>6</v>
      </c>
      <c r="H87" s="2">
        <f t="shared" si="3"/>
        <v>43</v>
      </c>
      <c r="I87" s="4">
        <v>45583</v>
      </c>
    </row>
    <row r="88" spans="1:9" ht="14.25" customHeight="1" x14ac:dyDescent="0.35">
      <c r="A88" s="2" t="s">
        <v>99</v>
      </c>
      <c r="B88" s="2" t="s">
        <v>368</v>
      </c>
      <c r="C88" s="2" t="s">
        <v>369</v>
      </c>
      <c r="D88" s="2">
        <v>13800</v>
      </c>
      <c r="E88" s="2">
        <v>28223</v>
      </c>
      <c r="F88" s="2">
        <f t="shared" si="2"/>
        <v>14423</v>
      </c>
      <c r="G88" s="2" t="s">
        <v>5</v>
      </c>
      <c r="H88" s="2">
        <f t="shared" si="3"/>
        <v>46</v>
      </c>
      <c r="I88" s="4">
        <v>45587</v>
      </c>
    </row>
    <row r="89" spans="1:9" ht="14.25" customHeight="1" x14ac:dyDescent="0.35">
      <c r="A89" s="2" t="s">
        <v>100</v>
      </c>
      <c r="B89" s="2" t="s">
        <v>367</v>
      </c>
      <c r="C89" s="2" t="s">
        <v>369</v>
      </c>
      <c r="D89" s="2">
        <v>21161</v>
      </c>
      <c r="E89" s="2">
        <v>1074093</v>
      </c>
      <c r="F89" s="2">
        <f t="shared" si="2"/>
        <v>1052932</v>
      </c>
      <c r="G89" s="2" t="s">
        <v>6</v>
      </c>
      <c r="H89" s="2">
        <f t="shared" si="3"/>
        <v>46</v>
      </c>
      <c r="I89" s="5">
        <v>45607</v>
      </c>
    </row>
    <row r="90" spans="1:9" ht="14.25" customHeight="1" x14ac:dyDescent="0.35">
      <c r="A90" s="2" t="s">
        <v>101</v>
      </c>
      <c r="B90" s="2" t="s">
        <v>368</v>
      </c>
      <c r="C90" s="2" t="s">
        <v>372</v>
      </c>
      <c r="D90" s="2">
        <v>148057</v>
      </c>
      <c r="E90" s="2">
        <v>0</v>
      </c>
      <c r="F90" s="2" t="str">
        <f t="shared" si="2"/>
        <v xml:space="preserve"> </v>
      </c>
      <c r="G90" s="2" t="s">
        <v>4</v>
      </c>
      <c r="H90" s="2">
        <f t="shared" si="3"/>
        <v>42</v>
      </c>
      <c r="I90" s="5">
        <v>45608</v>
      </c>
    </row>
    <row r="91" spans="1:9" ht="14.25" customHeight="1" x14ac:dyDescent="0.35">
      <c r="A91" s="2" t="s">
        <v>102</v>
      </c>
      <c r="B91" s="2" t="s">
        <v>13</v>
      </c>
      <c r="C91" s="2" t="s">
        <v>370</v>
      </c>
      <c r="D91" s="2">
        <v>148470</v>
      </c>
      <c r="E91" s="2">
        <v>1345680</v>
      </c>
      <c r="F91" s="2">
        <f t="shared" si="2"/>
        <v>1197210</v>
      </c>
      <c r="G91" s="2" t="s">
        <v>6</v>
      </c>
      <c r="H91" s="2">
        <f t="shared" si="3"/>
        <v>42</v>
      </c>
      <c r="I91" s="4">
        <v>45584</v>
      </c>
    </row>
    <row r="92" spans="1:9" ht="14.25" customHeight="1" x14ac:dyDescent="0.35">
      <c r="A92" s="2" t="s">
        <v>103</v>
      </c>
      <c r="B92" s="2" t="s">
        <v>368</v>
      </c>
      <c r="C92" s="2" t="s">
        <v>370</v>
      </c>
      <c r="D92" s="2">
        <v>112085</v>
      </c>
      <c r="E92" s="2">
        <v>1148538</v>
      </c>
      <c r="F92" s="2">
        <f t="shared" si="2"/>
        <v>1036453</v>
      </c>
      <c r="G92" s="2" t="s">
        <v>6</v>
      </c>
      <c r="H92" s="2">
        <f t="shared" si="3"/>
        <v>41</v>
      </c>
      <c r="I92" s="4">
        <v>45579</v>
      </c>
    </row>
    <row r="93" spans="1:9" ht="14.25" customHeight="1" x14ac:dyDescent="0.35">
      <c r="A93" s="2" t="s">
        <v>104</v>
      </c>
      <c r="B93" s="2" t="s">
        <v>22</v>
      </c>
      <c r="C93" s="2" t="s">
        <v>371</v>
      </c>
      <c r="D93" s="2">
        <v>83883</v>
      </c>
      <c r="E93" s="2">
        <v>0</v>
      </c>
      <c r="F93" s="2" t="str">
        <f t="shared" si="2"/>
        <v xml:space="preserve"> </v>
      </c>
      <c r="G93" s="2" t="s">
        <v>4</v>
      </c>
      <c r="H93" s="2">
        <f t="shared" si="3"/>
        <v>41</v>
      </c>
      <c r="I93" s="5">
        <v>45572</v>
      </c>
    </row>
    <row r="94" spans="1:9" ht="14.25" customHeight="1" x14ac:dyDescent="0.35">
      <c r="A94" s="2" t="s">
        <v>105</v>
      </c>
      <c r="B94" s="2" t="s">
        <v>8</v>
      </c>
      <c r="C94" s="2" t="s">
        <v>370</v>
      </c>
      <c r="D94" s="2">
        <v>34825</v>
      </c>
      <c r="E94" s="2">
        <v>1413655</v>
      </c>
      <c r="F94" s="2">
        <f t="shared" si="2"/>
        <v>1378830</v>
      </c>
      <c r="G94" s="2" t="s">
        <v>5</v>
      </c>
      <c r="H94" s="2">
        <f t="shared" si="3"/>
        <v>48</v>
      </c>
      <c r="I94" s="5">
        <v>45575</v>
      </c>
    </row>
    <row r="95" spans="1:9" ht="14.25" customHeight="1" x14ac:dyDescent="0.35">
      <c r="A95" s="2" t="s">
        <v>106</v>
      </c>
      <c r="B95" s="2" t="s">
        <v>10</v>
      </c>
      <c r="C95" s="2" t="s">
        <v>370</v>
      </c>
      <c r="D95" s="2">
        <v>46713</v>
      </c>
      <c r="E95" s="2">
        <v>0</v>
      </c>
      <c r="F95" s="2" t="str">
        <f t="shared" si="2"/>
        <v xml:space="preserve"> </v>
      </c>
      <c r="G95" s="2" t="s">
        <v>4</v>
      </c>
      <c r="H95" s="2">
        <f t="shared" si="3"/>
        <v>51</v>
      </c>
      <c r="I95" s="5">
        <v>45627</v>
      </c>
    </row>
    <row r="96" spans="1:9" ht="14.25" customHeight="1" x14ac:dyDescent="0.35">
      <c r="A96" s="2" t="s">
        <v>107</v>
      </c>
      <c r="B96" s="2" t="s">
        <v>20</v>
      </c>
      <c r="C96" s="2" t="s">
        <v>370</v>
      </c>
      <c r="D96" s="2">
        <v>112664</v>
      </c>
      <c r="E96" s="2">
        <v>0</v>
      </c>
      <c r="F96" s="2" t="str">
        <f t="shared" si="2"/>
        <v xml:space="preserve"> </v>
      </c>
      <c r="G96" s="2" t="s">
        <v>4</v>
      </c>
      <c r="H96" s="2">
        <f t="shared" si="3"/>
        <v>48</v>
      </c>
      <c r="I96" s="4">
        <v>45647</v>
      </c>
    </row>
    <row r="97" spans="1:9" ht="14.25" customHeight="1" x14ac:dyDescent="0.35">
      <c r="A97" s="2" t="s">
        <v>108</v>
      </c>
      <c r="B97" s="2" t="s">
        <v>24</v>
      </c>
      <c r="C97" s="2" t="s">
        <v>371</v>
      </c>
      <c r="D97" s="2">
        <v>33832</v>
      </c>
      <c r="E97" s="2">
        <v>0</v>
      </c>
      <c r="F97" s="2" t="str">
        <f t="shared" si="2"/>
        <v xml:space="preserve"> </v>
      </c>
      <c r="G97" s="2" t="s">
        <v>4</v>
      </c>
      <c r="H97" s="2">
        <f t="shared" si="3"/>
        <v>43</v>
      </c>
      <c r="I97" s="4">
        <v>45623</v>
      </c>
    </row>
    <row r="98" spans="1:9" ht="14.25" customHeight="1" x14ac:dyDescent="0.35">
      <c r="A98" s="2" t="s">
        <v>109</v>
      </c>
      <c r="B98" s="2" t="s">
        <v>24</v>
      </c>
      <c r="C98" s="2" t="s">
        <v>372</v>
      </c>
      <c r="D98" s="2">
        <v>135000</v>
      </c>
      <c r="E98" s="2">
        <v>990274</v>
      </c>
      <c r="F98" s="2">
        <f t="shared" si="2"/>
        <v>855274</v>
      </c>
      <c r="G98" s="2" t="s">
        <v>6</v>
      </c>
      <c r="H98" s="2">
        <f t="shared" si="3"/>
        <v>50</v>
      </c>
      <c r="I98" s="4">
        <v>45590</v>
      </c>
    </row>
    <row r="99" spans="1:9" ht="14.25" customHeight="1" x14ac:dyDescent="0.35">
      <c r="A99" s="2" t="s">
        <v>110</v>
      </c>
      <c r="B99" s="2" t="s">
        <v>368</v>
      </c>
      <c r="C99" s="2" t="s">
        <v>369</v>
      </c>
      <c r="D99" s="2">
        <v>8302</v>
      </c>
      <c r="E99" s="2">
        <v>1770352</v>
      </c>
      <c r="F99" s="2">
        <f t="shared" si="2"/>
        <v>1762050</v>
      </c>
      <c r="G99" s="2" t="s">
        <v>6</v>
      </c>
      <c r="H99" s="2">
        <f t="shared" si="3"/>
        <v>47</v>
      </c>
      <c r="I99" s="4">
        <v>45639</v>
      </c>
    </row>
    <row r="100" spans="1:9" ht="14.25" customHeight="1" x14ac:dyDescent="0.35">
      <c r="A100" s="2" t="s">
        <v>111</v>
      </c>
      <c r="B100" s="2" t="s">
        <v>22</v>
      </c>
      <c r="C100" s="2" t="s">
        <v>369</v>
      </c>
      <c r="D100" s="2">
        <v>5638</v>
      </c>
      <c r="E100" s="2">
        <v>835303</v>
      </c>
      <c r="F100" s="2">
        <f t="shared" si="2"/>
        <v>829665</v>
      </c>
      <c r="G100" s="2" t="s">
        <v>6</v>
      </c>
      <c r="H100" s="2">
        <f t="shared" si="3"/>
        <v>53</v>
      </c>
      <c r="I100" s="4">
        <v>45620</v>
      </c>
    </row>
    <row r="101" spans="1:9" ht="14.25" customHeight="1" x14ac:dyDescent="0.35">
      <c r="A101" s="2" t="s">
        <v>112</v>
      </c>
      <c r="B101" s="2" t="s">
        <v>367</v>
      </c>
      <c r="C101" s="2" t="s">
        <v>369</v>
      </c>
      <c r="D101" s="2">
        <v>17560</v>
      </c>
      <c r="E101" s="2">
        <v>361285</v>
      </c>
      <c r="F101" s="2">
        <f t="shared" si="2"/>
        <v>343725</v>
      </c>
      <c r="G101" s="2" t="s">
        <v>6</v>
      </c>
      <c r="H101" s="2">
        <f t="shared" si="3"/>
        <v>50</v>
      </c>
      <c r="I101" s="4">
        <v>45656</v>
      </c>
    </row>
    <row r="102" spans="1:9" ht="14.25" customHeight="1" x14ac:dyDescent="0.35">
      <c r="A102" s="2" t="s">
        <v>113</v>
      </c>
      <c r="B102" s="2" t="s">
        <v>10</v>
      </c>
      <c r="C102" s="2" t="s">
        <v>370</v>
      </c>
      <c r="D102" s="2">
        <v>30003</v>
      </c>
      <c r="E102" s="2">
        <v>1446522</v>
      </c>
      <c r="F102" s="2">
        <f t="shared" si="2"/>
        <v>1416519</v>
      </c>
      <c r="G102" s="2" t="s">
        <v>6</v>
      </c>
      <c r="H102" s="2">
        <f t="shared" si="3"/>
        <v>46</v>
      </c>
      <c r="I102" s="4">
        <v>45639</v>
      </c>
    </row>
    <row r="103" spans="1:9" ht="14.25" customHeight="1" x14ac:dyDescent="0.35">
      <c r="A103" s="2" t="s">
        <v>114</v>
      </c>
      <c r="B103" s="2" t="s">
        <v>24</v>
      </c>
      <c r="C103" s="2" t="s">
        <v>371</v>
      </c>
      <c r="D103" s="2">
        <v>72219</v>
      </c>
      <c r="E103" s="2">
        <v>764972</v>
      </c>
      <c r="F103" s="2">
        <f t="shared" si="2"/>
        <v>692753</v>
      </c>
      <c r="G103" s="2" t="s">
        <v>6</v>
      </c>
      <c r="H103" s="2">
        <f t="shared" si="3"/>
        <v>50</v>
      </c>
      <c r="I103" s="5">
        <v>45608</v>
      </c>
    </row>
    <row r="104" spans="1:9" ht="14.25" customHeight="1" x14ac:dyDescent="0.35">
      <c r="A104" s="2" t="s">
        <v>115</v>
      </c>
      <c r="B104" s="2" t="s">
        <v>24</v>
      </c>
      <c r="C104" s="2" t="s">
        <v>371</v>
      </c>
      <c r="D104" s="2">
        <v>99126</v>
      </c>
      <c r="E104" s="2">
        <v>1883899</v>
      </c>
      <c r="F104" s="2">
        <f t="shared" si="2"/>
        <v>1784773</v>
      </c>
      <c r="G104" s="2" t="s">
        <v>6</v>
      </c>
      <c r="H104" s="2">
        <f t="shared" si="3"/>
        <v>47</v>
      </c>
      <c r="I104" s="4">
        <v>45640</v>
      </c>
    </row>
    <row r="105" spans="1:9" ht="14.25" customHeight="1" x14ac:dyDescent="0.35">
      <c r="A105" s="2" t="s">
        <v>116</v>
      </c>
      <c r="B105" s="2" t="s">
        <v>13</v>
      </c>
      <c r="C105" s="2" t="s">
        <v>370</v>
      </c>
      <c r="D105" s="2">
        <v>132965</v>
      </c>
      <c r="E105" s="2">
        <v>1285621</v>
      </c>
      <c r="F105" s="2">
        <f t="shared" si="2"/>
        <v>1152656</v>
      </c>
      <c r="G105" s="2" t="s">
        <v>6</v>
      </c>
      <c r="H105" s="2">
        <f t="shared" si="3"/>
        <v>51</v>
      </c>
      <c r="I105" s="4">
        <v>45619</v>
      </c>
    </row>
    <row r="106" spans="1:9" ht="14.25" customHeight="1" x14ac:dyDescent="0.35">
      <c r="A106" s="2" t="s">
        <v>117</v>
      </c>
      <c r="B106" s="2" t="s">
        <v>8</v>
      </c>
      <c r="C106" s="2" t="s">
        <v>372</v>
      </c>
      <c r="D106" s="2">
        <v>108781</v>
      </c>
      <c r="E106" s="2">
        <v>360818</v>
      </c>
      <c r="F106" s="2">
        <f t="shared" si="2"/>
        <v>252037</v>
      </c>
      <c r="G106" s="2" t="s">
        <v>6</v>
      </c>
      <c r="H106" s="2">
        <f t="shared" si="3"/>
        <v>48</v>
      </c>
      <c r="I106" s="4">
        <v>45648</v>
      </c>
    </row>
    <row r="107" spans="1:9" ht="14.25" customHeight="1" x14ac:dyDescent="0.35">
      <c r="A107" s="2" t="s">
        <v>118</v>
      </c>
      <c r="B107" s="2" t="s">
        <v>367</v>
      </c>
      <c r="C107" s="2" t="s">
        <v>369</v>
      </c>
      <c r="D107" s="2">
        <v>23835</v>
      </c>
      <c r="E107" s="2">
        <v>1718464</v>
      </c>
      <c r="F107" s="2">
        <f t="shared" si="2"/>
        <v>1694629</v>
      </c>
      <c r="G107" s="2" t="s">
        <v>5</v>
      </c>
      <c r="H107" s="2">
        <f t="shared" si="3"/>
        <v>48</v>
      </c>
      <c r="I107" s="4">
        <v>45626</v>
      </c>
    </row>
    <row r="108" spans="1:9" ht="14.25" customHeight="1" x14ac:dyDescent="0.35">
      <c r="A108" s="2" t="s">
        <v>119</v>
      </c>
      <c r="B108" s="2" t="s">
        <v>10</v>
      </c>
      <c r="C108" s="2" t="s">
        <v>370</v>
      </c>
      <c r="D108" s="2">
        <v>93090</v>
      </c>
      <c r="E108" s="2">
        <v>700434</v>
      </c>
      <c r="F108" s="2">
        <f t="shared" si="2"/>
        <v>607344</v>
      </c>
      <c r="G108" s="2" t="s">
        <v>5</v>
      </c>
      <c r="H108" s="2">
        <f t="shared" si="3"/>
        <v>49</v>
      </c>
      <c r="I108" s="4">
        <v>45626</v>
      </c>
    </row>
    <row r="109" spans="1:9" ht="14.25" customHeight="1" x14ac:dyDescent="0.35">
      <c r="A109" s="2" t="s">
        <v>120</v>
      </c>
      <c r="B109" s="2" t="s">
        <v>16</v>
      </c>
      <c r="C109" s="2" t="s">
        <v>371</v>
      </c>
      <c r="D109" s="2">
        <v>21499</v>
      </c>
      <c r="E109" s="2">
        <v>1809914</v>
      </c>
      <c r="F109" s="2">
        <f t="shared" si="2"/>
        <v>1788415</v>
      </c>
      <c r="G109" s="2" t="s">
        <v>6</v>
      </c>
      <c r="H109" s="2">
        <f t="shared" si="3"/>
        <v>52</v>
      </c>
      <c r="I109" s="5">
        <v>45632</v>
      </c>
    </row>
    <row r="110" spans="1:9" ht="14.25" customHeight="1" x14ac:dyDescent="0.35">
      <c r="A110" s="2" t="s">
        <v>121</v>
      </c>
      <c r="B110" s="2" t="s">
        <v>368</v>
      </c>
      <c r="C110" s="2" t="s">
        <v>371</v>
      </c>
      <c r="D110" s="2">
        <v>46817</v>
      </c>
      <c r="E110" s="2">
        <v>1280005</v>
      </c>
      <c r="F110" s="2">
        <f t="shared" si="2"/>
        <v>1233188</v>
      </c>
      <c r="G110" s="2" t="s">
        <v>6</v>
      </c>
      <c r="H110" s="2">
        <f t="shared" si="3"/>
        <v>50</v>
      </c>
      <c r="I110" s="4">
        <v>45651</v>
      </c>
    </row>
    <row r="111" spans="1:9" ht="14.25" customHeight="1" x14ac:dyDescent="0.35">
      <c r="A111" s="2" t="s">
        <v>122</v>
      </c>
      <c r="B111" s="2" t="s">
        <v>16</v>
      </c>
      <c r="C111" s="2" t="s">
        <v>370</v>
      </c>
      <c r="D111" s="2">
        <v>127122</v>
      </c>
      <c r="E111" s="2">
        <v>1969583</v>
      </c>
      <c r="F111" s="2">
        <f t="shared" si="2"/>
        <v>1842461</v>
      </c>
      <c r="G111" s="2" t="s">
        <v>5</v>
      </c>
      <c r="H111" s="2">
        <f t="shared" si="3"/>
        <v>40</v>
      </c>
      <c r="I111" s="5">
        <v>45638</v>
      </c>
    </row>
    <row r="112" spans="1:9" ht="14.25" customHeight="1" x14ac:dyDescent="0.35">
      <c r="A112" s="2" t="s">
        <v>123</v>
      </c>
      <c r="B112" s="2" t="s">
        <v>8</v>
      </c>
      <c r="C112" s="2" t="s">
        <v>372</v>
      </c>
      <c r="D112" s="2">
        <v>115111</v>
      </c>
      <c r="E112" s="2">
        <v>200078</v>
      </c>
      <c r="F112" s="2">
        <f t="shared" si="2"/>
        <v>84967</v>
      </c>
      <c r="G112" s="2" t="s">
        <v>5</v>
      </c>
      <c r="H112" s="2">
        <f t="shared" si="3"/>
        <v>52</v>
      </c>
      <c r="I112" s="5">
        <v>45567</v>
      </c>
    </row>
    <row r="113" spans="1:9" ht="14.25" customHeight="1" x14ac:dyDescent="0.35">
      <c r="A113" s="2" t="s">
        <v>124</v>
      </c>
      <c r="B113" s="2" t="s">
        <v>20</v>
      </c>
      <c r="C113" s="2" t="s">
        <v>370</v>
      </c>
      <c r="D113" s="2">
        <v>139642</v>
      </c>
      <c r="E113" s="2">
        <v>615462</v>
      </c>
      <c r="F113" s="2">
        <f t="shared" si="2"/>
        <v>475820</v>
      </c>
      <c r="G113" s="2" t="s">
        <v>6</v>
      </c>
      <c r="H113" s="2">
        <f t="shared" si="3"/>
        <v>51</v>
      </c>
      <c r="I113" s="4">
        <v>45651</v>
      </c>
    </row>
    <row r="114" spans="1:9" ht="14.25" customHeight="1" x14ac:dyDescent="0.35">
      <c r="A114" s="2" t="s">
        <v>125</v>
      </c>
      <c r="B114" s="2" t="s">
        <v>24</v>
      </c>
      <c r="C114" s="2" t="s">
        <v>371</v>
      </c>
      <c r="D114" s="2">
        <v>35539</v>
      </c>
      <c r="E114" s="2">
        <v>0</v>
      </c>
      <c r="F114" s="2" t="str">
        <f t="shared" si="2"/>
        <v xml:space="preserve"> </v>
      </c>
      <c r="G114" s="2" t="s">
        <v>4</v>
      </c>
      <c r="H114" s="2">
        <f t="shared" si="3"/>
        <v>41</v>
      </c>
      <c r="I114" s="4">
        <v>45642</v>
      </c>
    </row>
    <row r="115" spans="1:9" ht="14.25" customHeight="1" x14ac:dyDescent="0.35">
      <c r="A115" s="2" t="s">
        <v>126</v>
      </c>
      <c r="B115" s="2" t="s">
        <v>16</v>
      </c>
      <c r="C115" s="2" t="s">
        <v>371</v>
      </c>
      <c r="D115" s="2">
        <v>33221</v>
      </c>
      <c r="E115" s="2">
        <v>707984</v>
      </c>
      <c r="F115" s="2">
        <f t="shared" si="2"/>
        <v>674763</v>
      </c>
      <c r="G115" s="2" t="s">
        <v>5</v>
      </c>
      <c r="H115" s="2">
        <f t="shared" si="3"/>
        <v>42</v>
      </c>
      <c r="I115" s="5">
        <v>45575</v>
      </c>
    </row>
    <row r="116" spans="1:9" ht="14.25" customHeight="1" x14ac:dyDescent="0.35">
      <c r="A116" s="2" t="s">
        <v>127</v>
      </c>
      <c r="B116" s="2" t="s">
        <v>8</v>
      </c>
      <c r="C116" s="2" t="s">
        <v>372</v>
      </c>
      <c r="D116" s="2">
        <v>66568</v>
      </c>
      <c r="E116" s="2">
        <v>1309608</v>
      </c>
      <c r="F116" s="2">
        <f t="shared" si="2"/>
        <v>1243040</v>
      </c>
      <c r="G116" s="2" t="s">
        <v>6</v>
      </c>
      <c r="H116" s="2">
        <f t="shared" si="3"/>
        <v>46</v>
      </c>
      <c r="I116" s="4">
        <v>45585</v>
      </c>
    </row>
    <row r="117" spans="1:9" ht="14.25" customHeight="1" x14ac:dyDescent="0.35">
      <c r="A117" s="2" t="s">
        <v>128</v>
      </c>
      <c r="B117" s="2" t="s">
        <v>367</v>
      </c>
      <c r="C117" s="2" t="s">
        <v>369</v>
      </c>
      <c r="D117" s="2">
        <v>6070</v>
      </c>
      <c r="E117" s="2">
        <v>0</v>
      </c>
      <c r="F117" s="2" t="str">
        <f t="shared" si="2"/>
        <v xml:space="preserve"> </v>
      </c>
      <c r="G117" s="2" t="s">
        <v>4</v>
      </c>
      <c r="H117" s="2">
        <f t="shared" si="3"/>
        <v>47</v>
      </c>
      <c r="I117" s="4">
        <v>45610</v>
      </c>
    </row>
    <row r="118" spans="1:9" ht="14.25" customHeight="1" x14ac:dyDescent="0.35">
      <c r="A118" s="2" t="s">
        <v>129</v>
      </c>
      <c r="B118" s="2" t="s">
        <v>16</v>
      </c>
      <c r="C118" s="2" t="s">
        <v>371</v>
      </c>
      <c r="D118" s="2">
        <v>83236</v>
      </c>
      <c r="E118" s="2">
        <v>1995287</v>
      </c>
      <c r="F118" s="2">
        <f t="shared" si="2"/>
        <v>1912051</v>
      </c>
      <c r="G118" s="2" t="s">
        <v>6</v>
      </c>
      <c r="H118" s="2">
        <f t="shared" si="3"/>
        <v>41</v>
      </c>
      <c r="I118" s="4">
        <v>45615</v>
      </c>
    </row>
    <row r="119" spans="1:9" ht="14.25" customHeight="1" x14ac:dyDescent="0.35">
      <c r="A119" s="2" t="s">
        <v>130</v>
      </c>
      <c r="B119" s="2" t="s">
        <v>20</v>
      </c>
      <c r="C119" s="2" t="s">
        <v>370</v>
      </c>
      <c r="D119" s="2">
        <v>105276</v>
      </c>
      <c r="E119" s="2">
        <v>1854771</v>
      </c>
      <c r="F119" s="2">
        <f t="shared" si="2"/>
        <v>1749495</v>
      </c>
      <c r="G119" s="2" t="s">
        <v>5</v>
      </c>
      <c r="H119" s="2">
        <f t="shared" si="3"/>
        <v>49</v>
      </c>
      <c r="I119" s="5">
        <v>45576</v>
      </c>
    </row>
    <row r="120" spans="1:9" ht="14.25" customHeight="1" x14ac:dyDescent="0.35">
      <c r="A120" s="2" t="s">
        <v>131</v>
      </c>
      <c r="B120" s="2" t="s">
        <v>8</v>
      </c>
      <c r="C120" s="2" t="s">
        <v>370</v>
      </c>
      <c r="D120" s="2">
        <v>115559</v>
      </c>
      <c r="E120" s="2">
        <v>1914142</v>
      </c>
      <c r="F120" s="2">
        <f t="shared" si="2"/>
        <v>1798583</v>
      </c>
      <c r="G120" s="2" t="s">
        <v>6</v>
      </c>
      <c r="H120" s="2">
        <f t="shared" si="3"/>
        <v>50</v>
      </c>
      <c r="I120" s="5">
        <v>45631</v>
      </c>
    </row>
    <row r="121" spans="1:9" ht="14.25" customHeight="1" x14ac:dyDescent="0.35">
      <c r="A121" s="2" t="s">
        <v>132</v>
      </c>
      <c r="B121" s="2" t="s">
        <v>20</v>
      </c>
      <c r="C121" s="2" t="s">
        <v>370</v>
      </c>
      <c r="D121" s="2">
        <v>107170</v>
      </c>
      <c r="E121" s="2">
        <v>1782612</v>
      </c>
      <c r="F121" s="2">
        <f t="shared" si="2"/>
        <v>1675442</v>
      </c>
      <c r="G121" s="2" t="s">
        <v>6</v>
      </c>
      <c r="H121" s="2">
        <f t="shared" si="3"/>
        <v>41</v>
      </c>
      <c r="I121" s="4">
        <v>45640</v>
      </c>
    </row>
    <row r="122" spans="1:9" ht="14.25" customHeight="1" x14ac:dyDescent="0.35">
      <c r="A122" s="2" t="s">
        <v>133</v>
      </c>
      <c r="B122" s="2" t="s">
        <v>24</v>
      </c>
      <c r="C122" s="2" t="s">
        <v>369</v>
      </c>
      <c r="D122" s="2">
        <v>9570</v>
      </c>
      <c r="E122" s="2">
        <v>1552603</v>
      </c>
      <c r="F122" s="2">
        <f t="shared" si="2"/>
        <v>1543033</v>
      </c>
      <c r="G122" s="2" t="s">
        <v>6</v>
      </c>
      <c r="H122" s="2">
        <f t="shared" si="3"/>
        <v>49</v>
      </c>
      <c r="I122" s="5">
        <v>45573</v>
      </c>
    </row>
    <row r="123" spans="1:9" ht="14.25" customHeight="1" x14ac:dyDescent="0.35">
      <c r="A123" s="2" t="s">
        <v>134</v>
      </c>
      <c r="B123" s="2" t="s">
        <v>10</v>
      </c>
      <c r="C123" s="2" t="s">
        <v>370</v>
      </c>
      <c r="D123" s="2">
        <v>148131</v>
      </c>
      <c r="E123" s="2">
        <v>1906149</v>
      </c>
      <c r="F123" s="2">
        <f t="shared" si="2"/>
        <v>1758018</v>
      </c>
      <c r="G123" s="2" t="s">
        <v>6</v>
      </c>
      <c r="H123" s="2">
        <f t="shared" si="3"/>
        <v>42</v>
      </c>
      <c r="I123" s="5">
        <v>45630</v>
      </c>
    </row>
    <row r="124" spans="1:9" ht="14.25" customHeight="1" x14ac:dyDescent="0.35">
      <c r="A124" s="2" t="s">
        <v>135</v>
      </c>
      <c r="B124" s="2" t="s">
        <v>10</v>
      </c>
      <c r="C124" s="2" t="s">
        <v>370</v>
      </c>
      <c r="D124" s="2">
        <v>50833</v>
      </c>
      <c r="E124" s="2">
        <v>1484034</v>
      </c>
      <c r="F124" s="2">
        <f t="shared" si="2"/>
        <v>1433201</v>
      </c>
      <c r="G124" s="2" t="s">
        <v>6</v>
      </c>
      <c r="H124" s="2">
        <f t="shared" si="3"/>
        <v>52</v>
      </c>
      <c r="I124" s="4">
        <v>45584</v>
      </c>
    </row>
    <row r="125" spans="1:9" ht="14.25" customHeight="1" x14ac:dyDescent="0.35">
      <c r="A125" s="2" t="s">
        <v>136</v>
      </c>
      <c r="B125" s="2" t="s">
        <v>366</v>
      </c>
      <c r="C125" s="2" t="s">
        <v>371</v>
      </c>
      <c r="D125" s="2">
        <v>91392</v>
      </c>
      <c r="E125" s="2">
        <v>0</v>
      </c>
      <c r="F125" s="2" t="str">
        <f t="shared" si="2"/>
        <v xml:space="preserve"> </v>
      </c>
      <c r="G125" s="2" t="s">
        <v>4</v>
      </c>
      <c r="H125" s="2">
        <f t="shared" si="3"/>
        <v>43</v>
      </c>
      <c r="I125" s="4">
        <v>45651</v>
      </c>
    </row>
    <row r="126" spans="1:9" ht="14.25" customHeight="1" x14ac:dyDescent="0.35">
      <c r="A126" s="2" t="s">
        <v>137</v>
      </c>
      <c r="B126" s="2" t="s">
        <v>10</v>
      </c>
      <c r="C126" s="2" t="s">
        <v>369</v>
      </c>
      <c r="D126" s="2">
        <v>18307</v>
      </c>
      <c r="E126" s="2">
        <v>588406</v>
      </c>
      <c r="F126" s="2">
        <f t="shared" si="2"/>
        <v>570099</v>
      </c>
      <c r="G126" s="2" t="s">
        <v>5</v>
      </c>
      <c r="H126" s="2">
        <f t="shared" si="3"/>
        <v>53</v>
      </c>
      <c r="I126" s="4">
        <v>45590</v>
      </c>
    </row>
    <row r="127" spans="1:9" ht="14.25" customHeight="1" x14ac:dyDescent="0.35">
      <c r="A127" s="2" t="s">
        <v>138</v>
      </c>
      <c r="B127" s="2" t="s">
        <v>24</v>
      </c>
      <c r="C127" s="2" t="s">
        <v>371</v>
      </c>
      <c r="D127" s="2">
        <v>97091</v>
      </c>
      <c r="E127" s="2">
        <v>960082</v>
      </c>
      <c r="F127" s="2">
        <f t="shared" si="2"/>
        <v>862991</v>
      </c>
      <c r="G127" s="2" t="s">
        <v>5</v>
      </c>
      <c r="H127" s="2">
        <f t="shared" si="3"/>
        <v>49</v>
      </c>
      <c r="I127" s="4">
        <v>45656</v>
      </c>
    </row>
    <row r="128" spans="1:9" ht="14.25" customHeight="1" x14ac:dyDescent="0.35">
      <c r="A128" s="2" t="s">
        <v>139</v>
      </c>
      <c r="B128" s="2" t="s">
        <v>10</v>
      </c>
      <c r="C128" s="2" t="s">
        <v>369</v>
      </c>
      <c r="D128" s="2">
        <v>9503</v>
      </c>
      <c r="E128" s="2">
        <v>1935484</v>
      </c>
      <c r="F128" s="2">
        <f t="shared" si="2"/>
        <v>1925981</v>
      </c>
      <c r="G128" s="2" t="s">
        <v>5</v>
      </c>
      <c r="H128" s="2">
        <f t="shared" si="3"/>
        <v>47</v>
      </c>
      <c r="I128" s="5">
        <v>45633</v>
      </c>
    </row>
    <row r="129" spans="1:9" ht="14.25" customHeight="1" x14ac:dyDescent="0.35">
      <c r="A129" s="2" t="s">
        <v>140</v>
      </c>
      <c r="B129" s="2" t="s">
        <v>22</v>
      </c>
      <c r="C129" s="2" t="s">
        <v>370</v>
      </c>
      <c r="D129" s="2">
        <v>130105</v>
      </c>
      <c r="E129" s="2">
        <v>1440255</v>
      </c>
      <c r="F129" s="2">
        <f t="shared" si="2"/>
        <v>1310150</v>
      </c>
      <c r="G129" s="2" t="s">
        <v>6</v>
      </c>
      <c r="H129" s="2">
        <f t="shared" si="3"/>
        <v>43</v>
      </c>
      <c r="I129" s="4">
        <v>45620</v>
      </c>
    </row>
    <row r="130" spans="1:9" ht="14.25" customHeight="1" x14ac:dyDescent="0.35">
      <c r="A130" s="2" t="s">
        <v>141</v>
      </c>
      <c r="B130" s="2" t="s">
        <v>10</v>
      </c>
      <c r="C130" s="2" t="s">
        <v>371</v>
      </c>
      <c r="D130" s="2">
        <v>89897</v>
      </c>
      <c r="E130" s="2">
        <v>1738265</v>
      </c>
      <c r="F130" s="2">
        <f t="shared" si="2"/>
        <v>1648368</v>
      </c>
      <c r="G130" s="2" t="s">
        <v>6</v>
      </c>
      <c r="H130" s="2">
        <f t="shared" si="3"/>
        <v>42</v>
      </c>
      <c r="I130" s="4">
        <v>45588</v>
      </c>
    </row>
    <row r="131" spans="1:9" ht="14.25" customHeight="1" x14ac:dyDescent="0.35">
      <c r="A131" s="2" t="s">
        <v>79</v>
      </c>
      <c r="B131" s="2" t="s">
        <v>366</v>
      </c>
      <c r="C131" s="2" t="s">
        <v>369</v>
      </c>
      <c r="D131" s="2">
        <v>10225</v>
      </c>
      <c r="E131" s="2">
        <v>0</v>
      </c>
      <c r="F131" s="2" t="str">
        <f t="shared" ref="F131:F194" si="4">IF(G131="Thành Công",E131-D131," " )</f>
        <v xml:space="preserve"> </v>
      </c>
      <c r="G131" s="2" t="s">
        <v>4</v>
      </c>
      <c r="H131" s="2">
        <f t="shared" ref="H131:H194" si="5">WEEKNUM(I132,2)</f>
        <v>45</v>
      </c>
      <c r="I131" s="4">
        <v>45582</v>
      </c>
    </row>
    <row r="132" spans="1:9" ht="14.25" customHeight="1" x14ac:dyDescent="0.35">
      <c r="A132" s="2" t="s">
        <v>142</v>
      </c>
      <c r="B132" s="2" t="s">
        <v>24</v>
      </c>
      <c r="C132" s="2" t="s">
        <v>371</v>
      </c>
      <c r="D132" s="2">
        <v>40768</v>
      </c>
      <c r="E132" s="2">
        <v>1031882</v>
      </c>
      <c r="F132" s="2">
        <f t="shared" si="4"/>
        <v>991114</v>
      </c>
      <c r="G132" s="2" t="s">
        <v>6</v>
      </c>
      <c r="H132" s="2">
        <f t="shared" si="5"/>
        <v>46</v>
      </c>
      <c r="I132" s="5">
        <v>45601</v>
      </c>
    </row>
    <row r="133" spans="1:9" ht="14.25" customHeight="1" x14ac:dyDescent="0.35">
      <c r="A133" s="2" t="s">
        <v>143</v>
      </c>
      <c r="B133" s="2" t="s">
        <v>10</v>
      </c>
      <c r="C133" s="2" t="s">
        <v>371</v>
      </c>
      <c r="D133" s="2">
        <v>36811</v>
      </c>
      <c r="E133" s="2">
        <v>0</v>
      </c>
      <c r="F133" s="2" t="str">
        <f t="shared" si="4"/>
        <v xml:space="preserve"> </v>
      </c>
      <c r="G133" s="2" t="s">
        <v>4</v>
      </c>
      <c r="H133" s="2">
        <f t="shared" si="5"/>
        <v>50</v>
      </c>
      <c r="I133" s="5">
        <v>45607</v>
      </c>
    </row>
    <row r="134" spans="1:9" ht="14.25" customHeight="1" x14ac:dyDescent="0.35">
      <c r="A134" s="2" t="s">
        <v>144</v>
      </c>
      <c r="B134" s="2" t="s">
        <v>8</v>
      </c>
      <c r="C134" s="2" t="s">
        <v>371</v>
      </c>
      <c r="D134" s="2">
        <v>91317</v>
      </c>
      <c r="E134" s="2">
        <v>1489257</v>
      </c>
      <c r="F134" s="2">
        <f t="shared" si="4"/>
        <v>1397940</v>
      </c>
      <c r="G134" s="2" t="s">
        <v>5</v>
      </c>
      <c r="H134" s="2">
        <f t="shared" si="5"/>
        <v>43</v>
      </c>
      <c r="I134" s="5">
        <v>45636</v>
      </c>
    </row>
    <row r="135" spans="1:9" ht="14.25" customHeight="1" x14ac:dyDescent="0.35">
      <c r="A135" s="2" t="s">
        <v>145</v>
      </c>
      <c r="B135" s="2" t="s">
        <v>367</v>
      </c>
      <c r="C135" s="2" t="s">
        <v>370</v>
      </c>
      <c r="D135" s="2">
        <v>139536</v>
      </c>
      <c r="E135" s="2">
        <v>0</v>
      </c>
      <c r="F135" s="2" t="str">
        <f t="shared" si="4"/>
        <v xml:space="preserve"> </v>
      </c>
      <c r="G135" s="2" t="s">
        <v>4</v>
      </c>
      <c r="H135" s="2">
        <f t="shared" si="5"/>
        <v>50</v>
      </c>
      <c r="I135" s="4">
        <v>45586</v>
      </c>
    </row>
    <row r="136" spans="1:9" ht="14.25" customHeight="1" x14ac:dyDescent="0.35">
      <c r="A136" s="2" t="s">
        <v>146</v>
      </c>
      <c r="B136" s="2" t="s">
        <v>22</v>
      </c>
      <c r="C136" s="2" t="s">
        <v>372</v>
      </c>
      <c r="D136" s="2">
        <v>170178</v>
      </c>
      <c r="E136" s="2">
        <v>1345426</v>
      </c>
      <c r="F136" s="2">
        <f t="shared" si="4"/>
        <v>1175248</v>
      </c>
      <c r="G136" s="2" t="s">
        <v>6</v>
      </c>
      <c r="H136" s="2">
        <f t="shared" si="5"/>
        <v>52</v>
      </c>
      <c r="I136" s="5">
        <v>45637</v>
      </c>
    </row>
    <row r="137" spans="1:9" ht="14.25" customHeight="1" x14ac:dyDescent="0.35">
      <c r="A137" s="2" t="s">
        <v>147</v>
      </c>
      <c r="B137" s="2" t="s">
        <v>368</v>
      </c>
      <c r="C137" s="2" t="s">
        <v>372</v>
      </c>
      <c r="D137" s="2">
        <v>191182</v>
      </c>
      <c r="E137" s="2">
        <v>1814327</v>
      </c>
      <c r="F137" s="2">
        <f t="shared" si="4"/>
        <v>1623145</v>
      </c>
      <c r="G137" s="2" t="s">
        <v>6</v>
      </c>
      <c r="H137" s="2">
        <f t="shared" si="5"/>
        <v>42</v>
      </c>
      <c r="I137" s="4">
        <v>45653</v>
      </c>
    </row>
    <row r="138" spans="1:9" ht="14.25" customHeight="1" x14ac:dyDescent="0.35">
      <c r="A138" s="2" t="s">
        <v>148</v>
      </c>
      <c r="B138" s="2" t="s">
        <v>10</v>
      </c>
      <c r="C138" s="2" t="s">
        <v>369</v>
      </c>
      <c r="D138" s="2">
        <v>26439</v>
      </c>
      <c r="E138" s="2">
        <v>538019</v>
      </c>
      <c r="F138" s="2">
        <f t="shared" si="4"/>
        <v>511580</v>
      </c>
      <c r="G138" s="2" t="s">
        <v>5</v>
      </c>
      <c r="H138" s="2">
        <f t="shared" si="5"/>
        <v>48</v>
      </c>
      <c r="I138" s="4">
        <v>45585</v>
      </c>
    </row>
    <row r="139" spans="1:9" ht="14.25" customHeight="1" x14ac:dyDescent="0.35">
      <c r="A139" s="2" t="s">
        <v>149</v>
      </c>
      <c r="B139" s="2" t="s">
        <v>366</v>
      </c>
      <c r="C139" s="2" t="s">
        <v>369</v>
      </c>
      <c r="D139" s="2">
        <v>8507</v>
      </c>
      <c r="E139" s="2">
        <v>1751370</v>
      </c>
      <c r="F139" s="2">
        <f t="shared" si="4"/>
        <v>1742863</v>
      </c>
      <c r="G139" s="2" t="s">
        <v>6</v>
      </c>
      <c r="H139" s="2">
        <f t="shared" si="5"/>
        <v>49</v>
      </c>
      <c r="I139" s="5">
        <v>45627</v>
      </c>
    </row>
    <row r="140" spans="1:9" ht="14.25" customHeight="1" x14ac:dyDescent="0.35">
      <c r="A140" s="2" t="s">
        <v>150</v>
      </c>
      <c r="B140" s="2" t="s">
        <v>8</v>
      </c>
      <c r="C140" s="2" t="s">
        <v>370</v>
      </c>
      <c r="D140" s="2">
        <v>100123</v>
      </c>
      <c r="E140" s="2">
        <v>1928024</v>
      </c>
      <c r="F140" s="2">
        <f t="shared" si="4"/>
        <v>1827901</v>
      </c>
      <c r="G140" s="2" t="s">
        <v>6</v>
      </c>
      <c r="H140" s="2">
        <f t="shared" si="5"/>
        <v>40</v>
      </c>
      <c r="I140" s="5">
        <v>45628</v>
      </c>
    </row>
    <row r="141" spans="1:9" ht="14.25" customHeight="1" x14ac:dyDescent="0.35">
      <c r="A141" s="2" t="s">
        <v>151</v>
      </c>
      <c r="B141" s="2" t="s">
        <v>16</v>
      </c>
      <c r="C141" s="2" t="s">
        <v>369</v>
      </c>
      <c r="D141" s="2">
        <v>28613</v>
      </c>
      <c r="E141" s="2">
        <v>1649653</v>
      </c>
      <c r="F141" s="2">
        <f t="shared" si="4"/>
        <v>1621040</v>
      </c>
      <c r="G141" s="2" t="s">
        <v>6</v>
      </c>
      <c r="H141" s="2">
        <f t="shared" si="5"/>
        <v>41</v>
      </c>
      <c r="I141" s="5">
        <v>45566</v>
      </c>
    </row>
    <row r="142" spans="1:9" ht="14.25" customHeight="1" x14ac:dyDescent="0.35">
      <c r="A142" s="2" t="s">
        <v>152</v>
      </c>
      <c r="B142" s="2" t="s">
        <v>367</v>
      </c>
      <c r="C142" s="2" t="s">
        <v>371</v>
      </c>
      <c r="D142" s="2">
        <v>30651</v>
      </c>
      <c r="E142" s="2">
        <v>1716258</v>
      </c>
      <c r="F142" s="2">
        <f t="shared" si="4"/>
        <v>1685607</v>
      </c>
      <c r="G142" s="2" t="s">
        <v>5</v>
      </c>
      <c r="H142" s="2">
        <f t="shared" si="5"/>
        <v>51</v>
      </c>
      <c r="I142" s="5">
        <v>45573</v>
      </c>
    </row>
    <row r="143" spans="1:9" ht="14.25" customHeight="1" x14ac:dyDescent="0.35">
      <c r="A143" s="2" t="s">
        <v>153</v>
      </c>
      <c r="B143" s="2" t="s">
        <v>24</v>
      </c>
      <c r="C143" s="2" t="s">
        <v>370</v>
      </c>
      <c r="D143" s="2">
        <v>99184</v>
      </c>
      <c r="E143" s="2">
        <v>226994</v>
      </c>
      <c r="F143" s="2">
        <f t="shared" si="4"/>
        <v>127810</v>
      </c>
      <c r="G143" s="2" t="s">
        <v>5</v>
      </c>
      <c r="H143" s="2">
        <f t="shared" si="5"/>
        <v>42</v>
      </c>
      <c r="I143" s="4">
        <v>45646</v>
      </c>
    </row>
    <row r="144" spans="1:9" ht="14.25" customHeight="1" x14ac:dyDescent="0.35">
      <c r="A144" s="2" t="s">
        <v>154</v>
      </c>
      <c r="B144" s="2" t="s">
        <v>16</v>
      </c>
      <c r="C144" s="2" t="s">
        <v>372</v>
      </c>
      <c r="D144" s="2">
        <v>194978</v>
      </c>
      <c r="E144" s="2">
        <v>1468739</v>
      </c>
      <c r="F144" s="2">
        <f t="shared" si="4"/>
        <v>1273761</v>
      </c>
      <c r="G144" s="2" t="s">
        <v>6</v>
      </c>
      <c r="H144" s="2">
        <f t="shared" si="5"/>
        <v>48</v>
      </c>
      <c r="I144" s="4">
        <v>45581</v>
      </c>
    </row>
    <row r="145" spans="1:9" ht="14.25" customHeight="1" x14ac:dyDescent="0.35">
      <c r="A145" s="2" t="s">
        <v>155</v>
      </c>
      <c r="B145" s="2" t="s">
        <v>22</v>
      </c>
      <c r="C145" s="2" t="s">
        <v>370</v>
      </c>
      <c r="D145" s="2">
        <v>87898</v>
      </c>
      <c r="E145" s="2">
        <v>780723</v>
      </c>
      <c r="F145" s="2">
        <f t="shared" si="4"/>
        <v>692825</v>
      </c>
      <c r="G145" s="2" t="s">
        <v>6</v>
      </c>
      <c r="H145" s="2">
        <f t="shared" si="5"/>
        <v>47</v>
      </c>
      <c r="I145" s="4">
        <v>45624</v>
      </c>
    </row>
    <row r="146" spans="1:9" ht="14.25" customHeight="1" x14ac:dyDescent="0.35">
      <c r="A146" s="2" t="s">
        <v>156</v>
      </c>
      <c r="B146" s="2" t="s">
        <v>10</v>
      </c>
      <c r="C146" s="2" t="s">
        <v>372</v>
      </c>
      <c r="D146" s="2">
        <v>108143</v>
      </c>
      <c r="E146" s="2">
        <v>1573478</v>
      </c>
      <c r="F146" s="2">
        <f t="shared" si="4"/>
        <v>1465335</v>
      </c>
      <c r="G146" s="2" t="s">
        <v>6</v>
      </c>
      <c r="H146" s="2">
        <f t="shared" si="5"/>
        <v>53</v>
      </c>
      <c r="I146" s="4">
        <v>45618</v>
      </c>
    </row>
    <row r="147" spans="1:9" ht="14.25" customHeight="1" x14ac:dyDescent="0.35">
      <c r="A147" s="2" t="s">
        <v>157</v>
      </c>
      <c r="B147" s="2" t="s">
        <v>10</v>
      </c>
      <c r="C147" s="2" t="s">
        <v>370</v>
      </c>
      <c r="D147" s="2">
        <v>107832</v>
      </c>
      <c r="E147" s="2">
        <v>1895693</v>
      </c>
      <c r="F147" s="2">
        <f t="shared" si="4"/>
        <v>1787861</v>
      </c>
      <c r="G147" s="2" t="s">
        <v>5</v>
      </c>
      <c r="H147" s="2">
        <f t="shared" si="5"/>
        <v>53</v>
      </c>
      <c r="I147" s="4">
        <v>45656</v>
      </c>
    </row>
    <row r="148" spans="1:9" ht="14.25" customHeight="1" x14ac:dyDescent="0.35">
      <c r="A148" s="2" t="s">
        <v>158</v>
      </c>
      <c r="B148" s="2" t="s">
        <v>8</v>
      </c>
      <c r="C148" s="2" t="s">
        <v>369</v>
      </c>
      <c r="D148" s="2">
        <v>17287</v>
      </c>
      <c r="E148" s="2">
        <v>0</v>
      </c>
      <c r="F148" s="2" t="str">
        <f t="shared" si="4"/>
        <v xml:space="preserve"> </v>
      </c>
      <c r="G148" s="2" t="s">
        <v>4</v>
      </c>
      <c r="H148" s="2">
        <f t="shared" si="5"/>
        <v>47</v>
      </c>
      <c r="I148" s="4">
        <v>45656</v>
      </c>
    </row>
    <row r="149" spans="1:9" ht="14.25" customHeight="1" x14ac:dyDescent="0.35">
      <c r="A149" s="2" t="s">
        <v>159</v>
      </c>
      <c r="B149" s="2" t="s">
        <v>10</v>
      </c>
      <c r="C149" s="2" t="s">
        <v>372</v>
      </c>
      <c r="D149" s="2">
        <v>90885</v>
      </c>
      <c r="E149" s="2">
        <v>1598311</v>
      </c>
      <c r="F149" s="2">
        <f t="shared" si="4"/>
        <v>1507426</v>
      </c>
      <c r="G149" s="2" t="s">
        <v>6</v>
      </c>
      <c r="H149" s="2">
        <f t="shared" si="5"/>
        <v>45</v>
      </c>
      <c r="I149" s="4">
        <v>45615</v>
      </c>
    </row>
    <row r="150" spans="1:9" ht="14.25" customHeight="1" x14ac:dyDescent="0.35">
      <c r="A150" s="2" t="s">
        <v>160</v>
      </c>
      <c r="B150" s="2" t="s">
        <v>24</v>
      </c>
      <c r="C150" s="2" t="s">
        <v>372</v>
      </c>
      <c r="D150" s="2">
        <v>113113</v>
      </c>
      <c r="E150" s="2">
        <v>1083808</v>
      </c>
      <c r="F150" s="2">
        <f t="shared" si="4"/>
        <v>970695</v>
      </c>
      <c r="G150" s="2" t="s">
        <v>6</v>
      </c>
      <c r="H150" s="2">
        <f t="shared" si="5"/>
        <v>50</v>
      </c>
      <c r="I150" s="5">
        <v>45602</v>
      </c>
    </row>
    <row r="151" spans="1:9" ht="14.25" customHeight="1" x14ac:dyDescent="0.35">
      <c r="A151" s="2" t="s">
        <v>161</v>
      </c>
      <c r="B151" s="2" t="s">
        <v>368</v>
      </c>
      <c r="C151" s="2" t="s">
        <v>372</v>
      </c>
      <c r="D151" s="2">
        <v>95406</v>
      </c>
      <c r="E151" s="2">
        <v>925695</v>
      </c>
      <c r="F151" s="2">
        <f t="shared" si="4"/>
        <v>830289</v>
      </c>
      <c r="G151" s="2" t="s">
        <v>6</v>
      </c>
      <c r="H151" s="2">
        <f t="shared" si="5"/>
        <v>46</v>
      </c>
      <c r="I151" s="5">
        <v>45637</v>
      </c>
    </row>
    <row r="152" spans="1:9" ht="14.25" customHeight="1" x14ac:dyDescent="0.35">
      <c r="A152" s="2" t="s">
        <v>162</v>
      </c>
      <c r="B152" s="2" t="s">
        <v>24</v>
      </c>
      <c r="C152" s="2" t="s">
        <v>370</v>
      </c>
      <c r="D152" s="2">
        <v>106923</v>
      </c>
      <c r="E152" s="2">
        <v>901076</v>
      </c>
      <c r="F152" s="2">
        <f t="shared" si="4"/>
        <v>794153</v>
      </c>
      <c r="G152" s="2" t="s">
        <v>6</v>
      </c>
      <c r="H152" s="2">
        <f t="shared" si="5"/>
        <v>41</v>
      </c>
      <c r="I152" s="4">
        <v>45610</v>
      </c>
    </row>
    <row r="153" spans="1:9" ht="14.25" customHeight="1" x14ac:dyDescent="0.35">
      <c r="A153" s="2" t="s">
        <v>163</v>
      </c>
      <c r="B153" s="2" t="s">
        <v>16</v>
      </c>
      <c r="C153" s="2" t="s">
        <v>372</v>
      </c>
      <c r="D153" s="2">
        <v>82337</v>
      </c>
      <c r="E153" s="2">
        <v>0</v>
      </c>
      <c r="F153" s="2" t="str">
        <f t="shared" si="4"/>
        <v xml:space="preserve"> </v>
      </c>
      <c r="G153" s="2" t="s">
        <v>4</v>
      </c>
      <c r="H153" s="2">
        <f t="shared" si="5"/>
        <v>53</v>
      </c>
      <c r="I153" s="5">
        <v>45572</v>
      </c>
    </row>
    <row r="154" spans="1:9" ht="14.25" customHeight="1" x14ac:dyDescent="0.35">
      <c r="A154" s="2" t="s">
        <v>164</v>
      </c>
      <c r="B154" s="2" t="s">
        <v>16</v>
      </c>
      <c r="C154" s="2" t="s">
        <v>370</v>
      </c>
      <c r="D154" s="2">
        <v>116281</v>
      </c>
      <c r="E154" s="2">
        <v>833056</v>
      </c>
      <c r="F154" s="2">
        <f t="shared" si="4"/>
        <v>716775</v>
      </c>
      <c r="G154" s="2" t="s">
        <v>6</v>
      </c>
      <c r="H154" s="2">
        <f t="shared" si="5"/>
        <v>50</v>
      </c>
      <c r="I154" s="4">
        <v>45656</v>
      </c>
    </row>
    <row r="155" spans="1:9" ht="14.25" customHeight="1" x14ac:dyDescent="0.35">
      <c r="A155" s="2" t="s">
        <v>165</v>
      </c>
      <c r="B155" s="2" t="s">
        <v>366</v>
      </c>
      <c r="C155" s="2" t="s">
        <v>372</v>
      </c>
      <c r="D155" s="2">
        <v>51398</v>
      </c>
      <c r="E155" s="2">
        <v>0</v>
      </c>
      <c r="F155" s="2" t="str">
        <f t="shared" si="4"/>
        <v xml:space="preserve"> </v>
      </c>
      <c r="G155" s="2" t="s">
        <v>4</v>
      </c>
      <c r="H155" s="2">
        <f t="shared" si="5"/>
        <v>49</v>
      </c>
      <c r="I155" s="4">
        <v>45640</v>
      </c>
    </row>
    <row r="156" spans="1:9" ht="14.25" customHeight="1" x14ac:dyDescent="0.35">
      <c r="A156" s="2" t="s">
        <v>166</v>
      </c>
      <c r="B156" s="2" t="s">
        <v>16</v>
      </c>
      <c r="C156" s="2" t="s">
        <v>369</v>
      </c>
      <c r="D156" s="2">
        <v>5715</v>
      </c>
      <c r="E156" s="2">
        <v>0</v>
      </c>
      <c r="F156" s="2" t="str">
        <f t="shared" si="4"/>
        <v xml:space="preserve"> </v>
      </c>
      <c r="G156" s="2" t="s">
        <v>4</v>
      </c>
      <c r="H156" s="2">
        <f t="shared" si="5"/>
        <v>46</v>
      </c>
      <c r="I156" s="5">
        <v>45629</v>
      </c>
    </row>
    <row r="157" spans="1:9" ht="14.25" customHeight="1" x14ac:dyDescent="0.35">
      <c r="A157" s="2" t="s">
        <v>167</v>
      </c>
      <c r="B157" s="2" t="s">
        <v>13</v>
      </c>
      <c r="C157" s="2" t="s">
        <v>370</v>
      </c>
      <c r="D157" s="2">
        <v>77594</v>
      </c>
      <c r="E157" s="2">
        <v>0</v>
      </c>
      <c r="F157" s="2" t="str">
        <f t="shared" si="4"/>
        <v xml:space="preserve"> </v>
      </c>
      <c r="G157" s="2" t="s">
        <v>4</v>
      </c>
      <c r="H157" s="2">
        <f t="shared" si="5"/>
        <v>51</v>
      </c>
      <c r="I157" s="4">
        <v>45610</v>
      </c>
    </row>
    <row r="158" spans="1:9" ht="14.25" customHeight="1" x14ac:dyDescent="0.35">
      <c r="A158" s="2" t="s">
        <v>168</v>
      </c>
      <c r="B158" s="2" t="s">
        <v>13</v>
      </c>
      <c r="C158" s="2" t="s">
        <v>369</v>
      </c>
      <c r="D158" s="2">
        <v>8237</v>
      </c>
      <c r="E158" s="2">
        <v>75578</v>
      </c>
      <c r="F158" s="2">
        <f t="shared" si="4"/>
        <v>67341</v>
      </c>
      <c r="G158" s="2" t="s">
        <v>6</v>
      </c>
      <c r="H158" s="2">
        <f t="shared" si="5"/>
        <v>43</v>
      </c>
      <c r="I158" s="4">
        <v>45643</v>
      </c>
    </row>
    <row r="159" spans="1:9" ht="14.25" customHeight="1" x14ac:dyDescent="0.35">
      <c r="A159" s="2" t="s">
        <v>46</v>
      </c>
      <c r="B159" s="2" t="s">
        <v>20</v>
      </c>
      <c r="C159" s="2" t="s">
        <v>371</v>
      </c>
      <c r="D159" s="2">
        <v>53272</v>
      </c>
      <c r="E159" s="2">
        <v>1596681</v>
      </c>
      <c r="F159" s="2">
        <f t="shared" si="4"/>
        <v>1543409</v>
      </c>
      <c r="G159" s="2" t="s">
        <v>6</v>
      </c>
      <c r="H159" s="2">
        <f t="shared" si="5"/>
        <v>50</v>
      </c>
      <c r="I159" s="4">
        <v>45587</v>
      </c>
    </row>
    <row r="160" spans="1:9" ht="14.25" customHeight="1" x14ac:dyDescent="0.35">
      <c r="A160" s="2" t="s">
        <v>110</v>
      </c>
      <c r="B160" s="2" t="s">
        <v>368</v>
      </c>
      <c r="C160" s="2" t="s">
        <v>369</v>
      </c>
      <c r="D160" s="2">
        <v>8302</v>
      </c>
      <c r="E160" s="2">
        <v>1770352</v>
      </c>
      <c r="F160" s="2">
        <f t="shared" si="4"/>
        <v>1762050</v>
      </c>
      <c r="G160" s="2" t="s">
        <v>6</v>
      </c>
      <c r="H160" s="2">
        <f t="shared" si="5"/>
        <v>47</v>
      </c>
      <c r="I160" s="4">
        <v>45639</v>
      </c>
    </row>
    <row r="161" spans="1:9" ht="14.25" customHeight="1" x14ac:dyDescent="0.35">
      <c r="A161" s="2" t="s">
        <v>169</v>
      </c>
      <c r="B161" s="2" t="s">
        <v>24</v>
      </c>
      <c r="C161" s="2" t="s">
        <v>371</v>
      </c>
      <c r="D161" s="2">
        <v>32847</v>
      </c>
      <c r="E161" s="2">
        <v>841383</v>
      </c>
      <c r="F161" s="2">
        <f t="shared" si="4"/>
        <v>808536</v>
      </c>
      <c r="G161" s="2" t="s">
        <v>5</v>
      </c>
      <c r="H161" s="2">
        <f t="shared" si="5"/>
        <v>44</v>
      </c>
      <c r="I161" s="4">
        <v>45615</v>
      </c>
    </row>
    <row r="162" spans="1:9" ht="14.25" customHeight="1" x14ac:dyDescent="0.35">
      <c r="A162" s="2" t="s">
        <v>170</v>
      </c>
      <c r="B162" s="2" t="s">
        <v>366</v>
      </c>
      <c r="C162" s="2" t="s">
        <v>370</v>
      </c>
      <c r="D162" s="2">
        <v>40822</v>
      </c>
      <c r="E162" s="2">
        <v>1338799</v>
      </c>
      <c r="F162" s="2">
        <f t="shared" si="4"/>
        <v>1297977</v>
      </c>
      <c r="G162" s="2" t="s">
        <v>5</v>
      </c>
      <c r="H162" s="2">
        <f t="shared" si="5"/>
        <v>44</v>
      </c>
      <c r="I162" s="5">
        <v>45597</v>
      </c>
    </row>
    <row r="163" spans="1:9" ht="14.25" customHeight="1" x14ac:dyDescent="0.35">
      <c r="A163" s="2" t="s">
        <v>171</v>
      </c>
      <c r="B163" s="2" t="s">
        <v>22</v>
      </c>
      <c r="C163" s="2" t="s">
        <v>372</v>
      </c>
      <c r="D163" s="2">
        <v>74309</v>
      </c>
      <c r="E163" s="2">
        <v>1814823</v>
      </c>
      <c r="F163" s="2">
        <f t="shared" si="4"/>
        <v>1740514</v>
      </c>
      <c r="G163" s="2" t="s">
        <v>6</v>
      </c>
      <c r="H163" s="2">
        <f t="shared" si="5"/>
        <v>40</v>
      </c>
      <c r="I163" s="5">
        <v>45597</v>
      </c>
    </row>
    <row r="164" spans="1:9" ht="14.25" customHeight="1" x14ac:dyDescent="0.35">
      <c r="A164" s="2" t="s">
        <v>41</v>
      </c>
      <c r="B164" s="2" t="s">
        <v>10</v>
      </c>
      <c r="C164" s="2" t="s">
        <v>370</v>
      </c>
      <c r="D164" s="2">
        <v>126085</v>
      </c>
      <c r="E164" s="2">
        <v>561231</v>
      </c>
      <c r="F164" s="2">
        <f t="shared" si="4"/>
        <v>435146</v>
      </c>
      <c r="G164" s="2" t="s">
        <v>5</v>
      </c>
      <c r="H164" s="2">
        <f t="shared" si="5"/>
        <v>49</v>
      </c>
      <c r="I164" s="5">
        <v>45568</v>
      </c>
    </row>
    <row r="165" spans="1:9" ht="14.25" customHeight="1" x14ac:dyDescent="0.35">
      <c r="A165" s="2" t="s">
        <v>172</v>
      </c>
      <c r="B165" s="2" t="s">
        <v>368</v>
      </c>
      <c r="C165" s="2" t="s">
        <v>370</v>
      </c>
      <c r="D165" s="2">
        <v>53135</v>
      </c>
      <c r="E165" s="2">
        <v>1358835</v>
      </c>
      <c r="F165" s="2">
        <f t="shared" si="4"/>
        <v>1305700</v>
      </c>
      <c r="G165" s="2" t="s">
        <v>6</v>
      </c>
      <c r="H165" s="2">
        <f t="shared" si="5"/>
        <v>41</v>
      </c>
      <c r="I165" s="5">
        <v>45630</v>
      </c>
    </row>
    <row r="166" spans="1:9" ht="14.25" customHeight="1" x14ac:dyDescent="0.35">
      <c r="A166" s="2" t="s">
        <v>173</v>
      </c>
      <c r="B166" s="2" t="s">
        <v>8</v>
      </c>
      <c r="C166" s="2" t="s">
        <v>369</v>
      </c>
      <c r="D166" s="2">
        <v>6021</v>
      </c>
      <c r="E166" s="2">
        <v>0</v>
      </c>
      <c r="F166" s="2" t="str">
        <f t="shared" si="4"/>
        <v xml:space="preserve"> </v>
      </c>
      <c r="G166" s="2" t="s">
        <v>4</v>
      </c>
      <c r="H166" s="2">
        <f t="shared" si="5"/>
        <v>50</v>
      </c>
      <c r="I166" s="5">
        <v>45575</v>
      </c>
    </row>
    <row r="167" spans="1:9" ht="14.25" customHeight="1" x14ac:dyDescent="0.35">
      <c r="A167" s="2" t="s">
        <v>174</v>
      </c>
      <c r="B167" s="2" t="s">
        <v>20</v>
      </c>
      <c r="C167" s="2" t="s">
        <v>372</v>
      </c>
      <c r="D167" s="2">
        <v>131850</v>
      </c>
      <c r="E167" s="2">
        <v>1467079</v>
      </c>
      <c r="F167" s="2">
        <f t="shared" si="4"/>
        <v>1335229</v>
      </c>
      <c r="G167" s="2" t="s">
        <v>6</v>
      </c>
      <c r="H167" s="2">
        <f t="shared" si="5"/>
        <v>49</v>
      </c>
      <c r="I167" s="4">
        <v>45639</v>
      </c>
    </row>
    <row r="168" spans="1:9" ht="14.25" customHeight="1" x14ac:dyDescent="0.35">
      <c r="A168" s="2" t="s">
        <v>175</v>
      </c>
      <c r="B168" s="2" t="s">
        <v>8</v>
      </c>
      <c r="C168" s="2" t="s">
        <v>369</v>
      </c>
      <c r="D168" s="2">
        <v>16276</v>
      </c>
      <c r="E168" s="2">
        <v>0</v>
      </c>
      <c r="F168" s="2" t="str">
        <f t="shared" si="4"/>
        <v xml:space="preserve"> </v>
      </c>
      <c r="G168" s="2" t="s">
        <v>4</v>
      </c>
      <c r="H168" s="2">
        <f t="shared" si="5"/>
        <v>47</v>
      </c>
      <c r="I168" s="5">
        <v>45628</v>
      </c>
    </row>
    <row r="169" spans="1:9" ht="14.25" customHeight="1" x14ac:dyDescent="0.35">
      <c r="A169" s="2" t="s">
        <v>176</v>
      </c>
      <c r="B169" s="2" t="s">
        <v>368</v>
      </c>
      <c r="C169" s="7" t="s">
        <v>369</v>
      </c>
      <c r="D169" s="2">
        <v>7391</v>
      </c>
      <c r="E169" s="2">
        <v>1742930</v>
      </c>
      <c r="F169" s="2">
        <f t="shared" si="4"/>
        <v>1735539</v>
      </c>
      <c r="G169" s="2" t="s">
        <v>5</v>
      </c>
      <c r="H169" s="2">
        <f t="shared" si="5"/>
        <v>50</v>
      </c>
      <c r="I169" s="4">
        <v>45618</v>
      </c>
    </row>
    <row r="170" spans="1:9" ht="14.25" customHeight="1" x14ac:dyDescent="0.35">
      <c r="A170" s="2" t="s">
        <v>161</v>
      </c>
      <c r="B170" s="2" t="s">
        <v>368</v>
      </c>
      <c r="C170" s="2" t="s">
        <v>372</v>
      </c>
      <c r="D170" s="2">
        <v>95406</v>
      </c>
      <c r="E170" s="2">
        <v>925695</v>
      </c>
      <c r="F170" s="2">
        <f t="shared" si="4"/>
        <v>830289</v>
      </c>
      <c r="G170" s="2" t="s">
        <v>6</v>
      </c>
      <c r="H170" s="2">
        <f t="shared" si="5"/>
        <v>49</v>
      </c>
      <c r="I170" s="5">
        <v>45637</v>
      </c>
    </row>
    <row r="171" spans="1:9" ht="14.25" customHeight="1" x14ac:dyDescent="0.35">
      <c r="A171" s="2" t="s">
        <v>177</v>
      </c>
      <c r="B171" s="2" t="s">
        <v>20</v>
      </c>
      <c r="C171" s="2" t="s">
        <v>371</v>
      </c>
      <c r="D171" s="2">
        <v>20934</v>
      </c>
      <c r="E171" s="2">
        <v>687972</v>
      </c>
      <c r="F171" s="2">
        <f t="shared" si="4"/>
        <v>667038</v>
      </c>
      <c r="G171" s="2" t="s">
        <v>6</v>
      </c>
      <c r="H171" s="2">
        <f t="shared" si="5"/>
        <v>46</v>
      </c>
      <c r="I171" s="5">
        <v>45629</v>
      </c>
    </row>
    <row r="172" spans="1:9" ht="14.25" customHeight="1" x14ac:dyDescent="0.35">
      <c r="A172" s="2" t="s">
        <v>178</v>
      </c>
      <c r="B172" s="2" t="s">
        <v>13</v>
      </c>
      <c r="C172" s="2" t="s">
        <v>371</v>
      </c>
      <c r="D172" s="2">
        <v>99611</v>
      </c>
      <c r="E172" s="2">
        <v>1439817</v>
      </c>
      <c r="F172" s="2">
        <f t="shared" si="4"/>
        <v>1340206</v>
      </c>
      <c r="G172" s="2" t="s">
        <v>5</v>
      </c>
      <c r="H172" s="2">
        <f t="shared" si="5"/>
        <v>43</v>
      </c>
      <c r="I172" s="4">
        <v>45612</v>
      </c>
    </row>
    <row r="173" spans="1:9" ht="14.25" customHeight="1" x14ac:dyDescent="0.35">
      <c r="A173" s="2" t="s">
        <v>179</v>
      </c>
      <c r="B173" s="2" t="s">
        <v>10</v>
      </c>
      <c r="C173" s="2" t="s">
        <v>370</v>
      </c>
      <c r="D173" s="2">
        <v>38307</v>
      </c>
      <c r="E173" s="2">
        <v>1767526</v>
      </c>
      <c r="F173" s="2">
        <f t="shared" si="4"/>
        <v>1729219</v>
      </c>
      <c r="G173" s="2" t="s">
        <v>5</v>
      </c>
      <c r="H173" s="2">
        <f t="shared" si="5"/>
        <v>46</v>
      </c>
      <c r="I173" s="4">
        <v>45586</v>
      </c>
    </row>
    <row r="174" spans="1:9" ht="14.25" customHeight="1" x14ac:dyDescent="0.35">
      <c r="A174" s="2" t="s">
        <v>180</v>
      </c>
      <c r="B174" s="2" t="s">
        <v>13</v>
      </c>
      <c r="C174" s="2" t="s">
        <v>371</v>
      </c>
      <c r="D174" s="2">
        <v>71417</v>
      </c>
      <c r="E174" s="2">
        <v>1794644</v>
      </c>
      <c r="F174" s="2">
        <f t="shared" si="4"/>
        <v>1723227</v>
      </c>
      <c r="G174" s="2" t="s">
        <v>5</v>
      </c>
      <c r="H174" s="2">
        <f t="shared" si="5"/>
        <v>44</v>
      </c>
      <c r="I174" s="5">
        <v>45608</v>
      </c>
    </row>
    <row r="175" spans="1:9" ht="14.25" customHeight="1" x14ac:dyDescent="0.35">
      <c r="A175" s="2" t="s">
        <v>181</v>
      </c>
      <c r="B175" s="2" t="s">
        <v>366</v>
      </c>
      <c r="C175" s="2" t="s">
        <v>372</v>
      </c>
      <c r="D175" s="2">
        <v>60339</v>
      </c>
      <c r="E175" s="2">
        <v>853593</v>
      </c>
      <c r="F175" s="2">
        <f t="shared" si="4"/>
        <v>793254</v>
      </c>
      <c r="G175" s="2" t="s">
        <v>6</v>
      </c>
      <c r="H175" s="2">
        <f t="shared" si="5"/>
        <v>41</v>
      </c>
      <c r="I175" s="4">
        <v>45593</v>
      </c>
    </row>
    <row r="176" spans="1:9" ht="14.25" customHeight="1" x14ac:dyDescent="0.35">
      <c r="A176" s="2" t="s">
        <v>182</v>
      </c>
      <c r="B176" s="2" t="s">
        <v>20</v>
      </c>
      <c r="C176" s="2" t="s">
        <v>370</v>
      </c>
      <c r="D176" s="2">
        <v>35250</v>
      </c>
      <c r="E176" s="2">
        <v>1109008</v>
      </c>
      <c r="F176" s="2">
        <f t="shared" si="4"/>
        <v>1073758</v>
      </c>
      <c r="G176" s="2" t="s">
        <v>5</v>
      </c>
      <c r="H176" s="2">
        <f t="shared" si="5"/>
        <v>48</v>
      </c>
      <c r="I176" s="5">
        <v>45577</v>
      </c>
    </row>
    <row r="177" spans="1:9" ht="14.25" customHeight="1" x14ac:dyDescent="0.35">
      <c r="A177" s="2" t="s">
        <v>183</v>
      </c>
      <c r="B177" s="2" t="s">
        <v>366</v>
      </c>
      <c r="C177" s="7" t="s">
        <v>369</v>
      </c>
      <c r="D177" s="2">
        <v>24490</v>
      </c>
      <c r="E177" s="2">
        <v>0</v>
      </c>
      <c r="F177" s="2" t="str">
        <f t="shared" si="4"/>
        <v xml:space="preserve"> </v>
      </c>
      <c r="G177" s="2" t="s">
        <v>4</v>
      </c>
      <c r="H177" s="2">
        <f t="shared" si="5"/>
        <v>52</v>
      </c>
      <c r="I177" s="4">
        <v>45625</v>
      </c>
    </row>
    <row r="178" spans="1:9" ht="14.25" customHeight="1" x14ac:dyDescent="0.35">
      <c r="A178" s="2" t="s">
        <v>184</v>
      </c>
      <c r="B178" s="2" t="s">
        <v>13</v>
      </c>
      <c r="C178" s="2" t="s">
        <v>371</v>
      </c>
      <c r="D178" s="2">
        <v>81352</v>
      </c>
      <c r="E178" s="2">
        <v>1075762</v>
      </c>
      <c r="F178" s="2">
        <f t="shared" si="4"/>
        <v>994410</v>
      </c>
      <c r="G178" s="2" t="s">
        <v>6</v>
      </c>
      <c r="H178" s="2">
        <f t="shared" si="5"/>
        <v>47</v>
      </c>
      <c r="I178" s="4">
        <v>45653</v>
      </c>
    </row>
    <row r="179" spans="1:9" ht="14.25" customHeight="1" x14ac:dyDescent="0.35">
      <c r="A179" s="2" t="s">
        <v>185</v>
      </c>
      <c r="B179" s="2" t="s">
        <v>368</v>
      </c>
      <c r="C179" s="2" t="s">
        <v>371</v>
      </c>
      <c r="D179" s="2">
        <v>63060</v>
      </c>
      <c r="E179" s="2">
        <v>517047</v>
      </c>
      <c r="F179" s="2">
        <f t="shared" si="4"/>
        <v>453987</v>
      </c>
      <c r="G179" s="2" t="s">
        <v>5</v>
      </c>
      <c r="H179" s="2">
        <f t="shared" si="5"/>
        <v>48</v>
      </c>
      <c r="I179" s="4">
        <v>45620</v>
      </c>
    </row>
    <row r="180" spans="1:9" ht="14.25" customHeight="1" x14ac:dyDescent="0.35">
      <c r="A180" s="2" t="s">
        <v>186</v>
      </c>
      <c r="B180" s="2" t="s">
        <v>366</v>
      </c>
      <c r="C180" s="2" t="s">
        <v>370</v>
      </c>
      <c r="D180" s="2">
        <v>107758</v>
      </c>
      <c r="E180" s="2">
        <v>264042</v>
      </c>
      <c r="F180" s="2">
        <f t="shared" si="4"/>
        <v>156284</v>
      </c>
      <c r="G180" s="2" t="s">
        <v>6</v>
      </c>
      <c r="H180" s="2">
        <f t="shared" si="5"/>
        <v>43</v>
      </c>
      <c r="I180" s="5">
        <v>45627</v>
      </c>
    </row>
    <row r="181" spans="1:9" ht="14.25" customHeight="1" x14ac:dyDescent="0.35">
      <c r="A181" s="2" t="s">
        <v>187</v>
      </c>
      <c r="B181" s="2" t="s">
        <v>367</v>
      </c>
      <c r="C181" s="2" t="s">
        <v>369</v>
      </c>
      <c r="D181" s="2">
        <v>9237</v>
      </c>
      <c r="E181" s="2">
        <v>614383</v>
      </c>
      <c r="F181" s="2">
        <f t="shared" si="4"/>
        <v>605146</v>
      </c>
      <c r="G181" s="2" t="s">
        <v>6</v>
      </c>
      <c r="H181" s="2">
        <f t="shared" si="5"/>
        <v>50</v>
      </c>
      <c r="I181" s="4">
        <v>45589</v>
      </c>
    </row>
    <row r="182" spans="1:9" ht="14.25" customHeight="1" x14ac:dyDescent="0.35">
      <c r="A182" s="2" t="s">
        <v>188</v>
      </c>
      <c r="B182" s="2" t="s">
        <v>366</v>
      </c>
      <c r="C182" s="2" t="s">
        <v>369</v>
      </c>
      <c r="D182" s="2">
        <v>9637</v>
      </c>
      <c r="E182" s="2">
        <v>1088787</v>
      </c>
      <c r="F182" s="2">
        <f t="shared" si="4"/>
        <v>1079150</v>
      </c>
      <c r="G182" s="2" t="s">
        <v>6</v>
      </c>
      <c r="H182" s="2">
        <f t="shared" si="5"/>
        <v>46</v>
      </c>
      <c r="I182" s="5">
        <v>45636</v>
      </c>
    </row>
    <row r="183" spans="1:9" ht="14.25" customHeight="1" x14ac:dyDescent="0.35">
      <c r="A183" s="2" t="s">
        <v>189</v>
      </c>
      <c r="B183" s="2" t="s">
        <v>16</v>
      </c>
      <c r="C183" s="2" t="s">
        <v>370</v>
      </c>
      <c r="D183" s="2">
        <v>136813</v>
      </c>
      <c r="E183" s="2">
        <v>223484</v>
      </c>
      <c r="F183" s="2">
        <f t="shared" si="4"/>
        <v>86671</v>
      </c>
      <c r="G183" s="2" t="s">
        <v>6</v>
      </c>
      <c r="H183" s="2">
        <f t="shared" si="5"/>
        <v>46</v>
      </c>
      <c r="I183" s="4">
        <v>45611</v>
      </c>
    </row>
    <row r="184" spans="1:9" ht="14.25" customHeight="1" x14ac:dyDescent="0.35">
      <c r="A184" s="2" t="s">
        <v>190</v>
      </c>
      <c r="B184" s="2" t="s">
        <v>366</v>
      </c>
      <c r="C184" s="2" t="s">
        <v>369</v>
      </c>
      <c r="D184" s="2">
        <v>18995</v>
      </c>
      <c r="E184" s="2">
        <v>1503984</v>
      </c>
      <c r="F184" s="2">
        <f t="shared" si="4"/>
        <v>1484989</v>
      </c>
      <c r="G184" s="2" t="s">
        <v>6</v>
      </c>
      <c r="H184" s="2">
        <f t="shared" si="5"/>
        <v>50</v>
      </c>
      <c r="I184" s="4">
        <v>45609</v>
      </c>
    </row>
    <row r="185" spans="1:9" ht="14.25" customHeight="1" x14ac:dyDescent="0.35">
      <c r="A185" s="2" t="s">
        <v>191</v>
      </c>
      <c r="B185" s="2" t="s">
        <v>368</v>
      </c>
      <c r="C185" s="2" t="s">
        <v>369</v>
      </c>
      <c r="D185" s="2">
        <v>13113</v>
      </c>
      <c r="E185" s="2">
        <v>0</v>
      </c>
      <c r="F185" s="2" t="str">
        <f t="shared" si="4"/>
        <v xml:space="preserve"> </v>
      </c>
      <c r="G185" s="2" t="s">
        <v>4</v>
      </c>
      <c r="H185" s="2">
        <f t="shared" si="5"/>
        <v>41</v>
      </c>
      <c r="I185" s="4">
        <v>45639</v>
      </c>
    </row>
    <row r="186" spans="1:9" ht="14.25" customHeight="1" x14ac:dyDescent="0.35">
      <c r="A186" s="2" t="s">
        <v>192</v>
      </c>
      <c r="B186" s="2" t="s">
        <v>13</v>
      </c>
      <c r="C186" s="2" t="s">
        <v>371</v>
      </c>
      <c r="D186" s="2">
        <v>79249</v>
      </c>
      <c r="E186" s="2">
        <v>998241</v>
      </c>
      <c r="F186" s="2">
        <f t="shared" si="4"/>
        <v>918992</v>
      </c>
      <c r="G186" s="2" t="s">
        <v>6</v>
      </c>
      <c r="H186" s="2">
        <f t="shared" si="5"/>
        <v>46</v>
      </c>
      <c r="I186" s="5">
        <v>45576</v>
      </c>
    </row>
    <row r="187" spans="1:9" ht="14.25" customHeight="1" x14ac:dyDescent="0.35">
      <c r="A187" s="2" t="s">
        <v>114</v>
      </c>
      <c r="B187" s="2" t="s">
        <v>24</v>
      </c>
      <c r="C187" s="2" t="s">
        <v>371</v>
      </c>
      <c r="D187" s="2">
        <v>72219</v>
      </c>
      <c r="E187" s="2">
        <v>764972</v>
      </c>
      <c r="F187" s="2">
        <f t="shared" si="4"/>
        <v>692753</v>
      </c>
      <c r="G187" s="2" t="s">
        <v>6</v>
      </c>
      <c r="H187" s="2">
        <f t="shared" si="5"/>
        <v>50</v>
      </c>
      <c r="I187" s="5">
        <v>45608</v>
      </c>
    </row>
    <row r="188" spans="1:9" ht="14.25" customHeight="1" x14ac:dyDescent="0.35">
      <c r="A188" s="2" t="s">
        <v>193</v>
      </c>
      <c r="B188" s="2" t="s">
        <v>20</v>
      </c>
      <c r="C188" s="2" t="s">
        <v>372</v>
      </c>
      <c r="D188" s="2">
        <v>115683</v>
      </c>
      <c r="E188" s="2">
        <v>702783</v>
      </c>
      <c r="F188" s="2">
        <f t="shared" si="4"/>
        <v>587100</v>
      </c>
      <c r="G188" s="2" t="s">
        <v>6</v>
      </c>
      <c r="H188" s="2">
        <f t="shared" si="5"/>
        <v>49</v>
      </c>
      <c r="I188" s="5">
        <v>45638</v>
      </c>
    </row>
    <row r="189" spans="1:9" ht="14.25" customHeight="1" x14ac:dyDescent="0.35">
      <c r="A189" s="2" t="s">
        <v>194</v>
      </c>
      <c r="B189" s="2" t="s">
        <v>16</v>
      </c>
      <c r="C189" s="2" t="s">
        <v>370</v>
      </c>
      <c r="D189" s="2">
        <v>125394</v>
      </c>
      <c r="E189" s="2">
        <v>981862</v>
      </c>
      <c r="F189" s="2">
        <f t="shared" si="4"/>
        <v>856468</v>
      </c>
      <c r="G189" s="2" t="s">
        <v>6</v>
      </c>
      <c r="H189" s="2">
        <f t="shared" si="5"/>
        <v>51</v>
      </c>
      <c r="I189" s="5">
        <v>45631</v>
      </c>
    </row>
    <row r="190" spans="1:9" ht="14.25" customHeight="1" x14ac:dyDescent="0.35">
      <c r="A190" s="2" t="s">
        <v>195</v>
      </c>
      <c r="B190" s="2" t="s">
        <v>366</v>
      </c>
      <c r="C190" s="2" t="s">
        <v>370</v>
      </c>
      <c r="D190" s="2">
        <v>58790</v>
      </c>
      <c r="E190" s="2">
        <v>1561327</v>
      </c>
      <c r="F190" s="2">
        <f t="shared" si="4"/>
        <v>1502537</v>
      </c>
      <c r="G190" s="2" t="s">
        <v>6</v>
      </c>
      <c r="H190" s="2">
        <f t="shared" si="5"/>
        <v>47</v>
      </c>
      <c r="I190" s="4">
        <v>45644</v>
      </c>
    </row>
    <row r="191" spans="1:9" ht="14.25" customHeight="1" x14ac:dyDescent="0.35">
      <c r="A191" s="2" t="s">
        <v>196</v>
      </c>
      <c r="B191" s="2" t="s">
        <v>24</v>
      </c>
      <c r="C191" s="2" t="s">
        <v>371</v>
      </c>
      <c r="D191" s="2">
        <v>89989</v>
      </c>
      <c r="E191" s="2">
        <v>1386700</v>
      </c>
      <c r="F191" s="2">
        <f t="shared" si="4"/>
        <v>1296711</v>
      </c>
      <c r="G191" s="2" t="s">
        <v>6</v>
      </c>
      <c r="H191" s="2">
        <f t="shared" si="5"/>
        <v>40</v>
      </c>
      <c r="I191" s="4">
        <v>45619</v>
      </c>
    </row>
    <row r="192" spans="1:9" ht="14.25" customHeight="1" x14ac:dyDescent="0.35">
      <c r="A192" s="2" t="s">
        <v>197</v>
      </c>
      <c r="B192" s="2" t="s">
        <v>20</v>
      </c>
      <c r="C192" s="2" t="s">
        <v>370</v>
      </c>
      <c r="D192" s="2">
        <v>100778</v>
      </c>
      <c r="E192" s="2">
        <v>1671818</v>
      </c>
      <c r="F192" s="2">
        <f t="shared" si="4"/>
        <v>1571040</v>
      </c>
      <c r="G192" s="2" t="s">
        <v>6</v>
      </c>
      <c r="H192" s="2">
        <f t="shared" si="5"/>
        <v>52</v>
      </c>
      <c r="I192" s="5">
        <v>45571</v>
      </c>
    </row>
    <row r="193" spans="1:9" ht="14.25" customHeight="1" x14ac:dyDescent="0.35">
      <c r="A193" s="2" t="s">
        <v>198</v>
      </c>
      <c r="B193" s="2" t="s">
        <v>368</v>
      </c>
      <c r="C193" s="2" t="s">
        <v>372</v>
      </c>
      <c r="D193" s="2">
        <v>170531</v>
      </c>
      <c r="E193" s="2">
        <v>1618216</v>
      </c>
      <c r="F193" s="2">
        <f t="shared" si="4"/>
        <v>1447685</v>
      </c>
      <c r="G193" s="2" t="s">
        <v>5</v>
      </c>
      <c r="H193" s="2">
        <f t="shared" si="5"/>
        <v>45</v>
      </c>
      <c r="I193" s="4">
        <v>45651</v>
      </c>
    </row>
    <row r="194" spans="1:9" ht="14.25" customHeight="1" x14ac:dyDescent="0.35">
      <c r="A194" s="2" t="s">
        <v>199</v>
      </c>
      <c r="B194" s="2" t="s">
        <v>16</v>
      </c>
      <c r="C194" s="2" t="s">
        <v>371</v>
      </c>
      <c r="D194" s="2">
        <v>74017</v>
      </c>
      <c r="E194" s="2">
        <v>1367827</v>
      </c>
      <c r="F194" s="2">
        <f t="shared" si="4"/>
        <v>1293810</v>
      </c>
      <c r="G194" s="2" t="s">
        <v>6</v>
      </c>
      <c r="H194" s="2">
        <f t="shared" si="5"/>
        <v>49</v>
      </c>
      <c r="I194" s="5">
        <v>45606</v>
      </c>
    </row>
    <row r="195" spans="1:9" ht="14.25" customHeight="1" x14ac:dyDescent="0.35">
      <c r="A195" s="2" t="s">
        <v>200</v>
      </c>
      <c r="B195" s="2" t="s">
        <v>22</v>
      </c>
      <c r="C195" s="2" t="s">
        <v>371</v>
      </c>
      <c r="D195" s="2">
        <v>37666</v>
      </c>
      <c r="E195" s="2">
        <v>420333</v>
      </c>
      <c r="F195" s="2">
        <f t="shared" ref="F195:F258" si="6">IF(G195="Thành Công",E195-D195," " )</f>
        <v>382667</v>
      </c>
      <c r="G195" s="2" t="s">
        <v>6</v>
      </c>
      <c r="H195" s="2">
        <f t="shared" ref="H195:H258" si="7">WEEKNUM(I196,2)</f>
        <v>45</v>
      </c>
      <c r="I195" s="5">
        <v>45629</v>
      </c>
    </row>
    <row r="196" spans="1:9" ht="14.25" customHeight="1" x14ac:dyDescent="0.35">
      <c r="A196" s="2" t="s">
        <v>94</v>
      </c>
      <c r="B196" s="2" t="s">
        <v>368</v>
      </c>
      <c r="C196" s="2" t="s">
        <v>371</v>
      </c>
      <c r="D196" s="2">
        <v>64220</v>
      </c>
      <c r="E196" s="2">
        <v>955691</v>
      </c>
      <c r="F196" s="2">
        <f t="shared" si="6"/>
        <v>891471</v>
      </c>
      <c r="G196" s="2" t="s">
        <v>5</v>
      </c>
      <c r="H196" s="2">
        <f t="shared" si="7"/>
        <v>40</v>
      </c>
      <c r="I196" s="5">
        <v>45601</v>
      </c>
    </row>
    <row r="197" spans="1:9" ht="14.25" customHeight="1" x14ac:dyDescent="0.35">
      <c r="A197" s="2" t="s">
        <v>201</v>
      </c>
      <c r="B197" s="2" t="s">
        <v>8</v>
      </c>
      <c r="C197" s="2" t="s">
        <v>371</v>
      </c>
      <c r="D197" s="2">
        <v>39434</v>
      </c>
      <c r="E197" s="2">
        <v>1337279</v>
      </c>
      <c r="F197" s="2">
        <f t="shared" si="6"/>
        <v>1297845</v>
      </c>
      <c r="G197" s="2" t="s">
        <v>6</v>
      </c>
      <c r="H197" s="2">
        <f t="shared" si="7"/>
        <v>40</v>
      </c>
      <c r="I197" s="5">
        <v>45566</v>
      </c>
    </row>
    <row r="198" spans="1:9" ht="14.25" customHeight="1" x14ac:dyDescent="0.35">
      <c r="A198" s="2" t="s">
        <v>202</v>
      </c>
      <c r="B198" s="2" t="s">
        <v>24</v>
      </c>
      <c r="C198" s="2" t="s">
        <v>370</v>
      </c>
      <c r="D198" s="2">
        <v>43203</v>
      </c>
      <c r="E198" s="2">
        <v>0</v>
      </c>
      <c r="F198" s="2" t="str">
        <f t="shared" si="6"/>
        <v xml:space="preserve"> </v>
      </c>
      <c r="G198" s="2" t="s">
        <v>4</v>
      </c>
      <c r="H198" s="2">
        <f t="shared" si="7"/>
        <v>40</v>
      </c>
      <c r="I198" s="5">
        <v>45571</v>
      </c>
    </row>
    <row r="199" spans="1:9" ht="14.25" customHeight="1" x14ac:dyDescent="0.35">
      <c r="A199" s="2" t="s">
        <v>203</v>
      </c>
      <c r="B199" s="2" t="s">
        <v>368</v>
      </c>
      <c r="C199" s="2" t="s">
        <v>371</v>
      </c>
      <c r="D199" s="2">
        <v>23945</v>
      </c>
      <c r="E199" s="2">
        <v>80021</v>
      </c>
      <c r="F199" s="2">
        <f t="shared" si="6"/>
        <v>56076</v>
      </c>
      <c r="G199" s="2" t="s">
        <v>6</v>
      </c>
      <c r="H199" s="2">
        <f t="shared" si="7"/>
        <v>48</v>
      </c>
      <c r="I199" s="5">
        <v>45566</v>
      </c>
    </row>
    <row r="200" spans="1:9" ht="14.25" customHeight="1" x14ac:dyDescent="0.35">
      <c r="A200" s="2" t="s">
        <v>204</v>
      </c>
      <c r="B200" s="2" t="s">
        <v>24</v>
      </c>
      <c r="C200" s="2" t="s">
        <v>372</v>
      </c>
      <c r="D200" s="2">
        <v>58421</v>
      </c>
      <c r="E200" s="2">
        <v>306199</v>
      </c>
      <c r="F200" s="2">
        <f t="shared" si="6"/>
        <v>247778</v>
      </c>
      <c r="G200" s="2" t="s">
        <v>6</v>
      </c>
      <c r="H200" s="2">
        <f t="shared" si="7"/>
        <v>41</v>
      </c>
      <c r="I200" s="4">
        <v>45622</v>
      </c>
    </row>
    <row r="201" spans="1:9" ht="14.25" customHeight="1" x14ac:dyDescent="0.35">
      <c r="A201" s="2" t="s">
        <v>205</v>
      </c>
      <c r="B201" s="2" t="s">
        <v>24</v>
      </c>
      <c r="C201" s="2" t="s">
        <v>372</v>
      </c>
      <c r="D201" s="2">
        <v>101772</v>
      </c>
      <c r="E201" s="2">
        <v>1501491</v>
      </c>
      <c r="F201" s="2">
        <f t="shared" si="6"/>
        <v>1399719</v>
      </c>
      <c r="G201" s="2" t="s">
        <v>6</v>
      </c>
      <c r="H201" s="2">
        <f t="shared" si="7"/>
        <v>49</v>
      </c>
      <c r="I201" s="5">
        <v>45575</v>
      </c>
    </row>
    <row r="202" spans="1:9" ht="14.25" customHeight="1" x14ac:dyDescent="0.35">
      <c r="A202" s="2" t="s">
        <v>206</v>
      </c>
      <c r="B202" s="2" t="s">
        <v>16</v>
      </c>
      <c r="C202" s="2" t="s">
        <v>369</v>
      </c>
      <c r="D202" s="2">
        <v>7769</v>
      </c>
      <c r="E202" s="2">
        <v>964627</v>
      </c>
      <c r="F202" s="2">
        <f t="shared" si="6"/>
        <v>956858</v>
      </c>
      <c r="G202" s="2" t="s">
        <v>5</v>
      </c>
      <c r="H202" s="2">
        <f t="shared" si="7"/>
        <v>51</v>
      </c>
      <c r="I202" s="5">
        <v>45634</v>
      </c>
    </row>
    <row r="203" spans="1:9" ht="14.25" customHeight="1" x14ac:dyDescent="0.35">
      <c r="A203" s="2" t="s">
        <v>207</v>
      </c>
      <c r="B203" s="2" t="s">
        <v>367</v>
      </c>
      <c r="C203" s="2" t="s">
        <v>372</v>
      </c>
      <c r="D203" s="2">
        <v>84302</v>
      </c>
      <c r="E203" s="2">
        <v>764766</v>
      </c>
      <c r="F203" s="2">
        <f t="shared" si="6"/>
        <v>680464</v>
      </c>
      <c r="G203" s="2" t="s">
        <v>6</v>
      </c>
      <c r="H203" s="2">
        <f t="shared" si="7"/>
        <v>41</v>
      </c>
      <c r="I203" s="4">
        <v>45646</v>
      </c>
    </row>
    <row r="204" spans="1:9" ht="14.25" customHeight="1" x14ac:dyDescent="0.35">
      <c r="A204" s="2" t="s">
        <v>208</v>
      </c>
      <c r="B204" s="2" t="s">
        <v>367</v>
      </c>
      <c r="C204" s="2" t="s">
        <v>370</v>
      </c>
      <c r="D204" s="2">
        <v>116160</v>
      </c>
      <c r="E204" s="2">
        <v>1395791</v>
      </c>
      <c r="F204" s="2">
        <f t="shared" si="6"/>
        <v>1279631</v>
      </c>
      <c r="G204" s="2" t="s">
        <v>6</v>
      </c>
      <c r="H204" s="2">
        <f t="shared" si="7"/>
        <v>46</v>
      </c>
      <c r="I204" s="5">
        <v>45576</v>
      </c>
    </row>
    <row r="205" spans="1:9" ht="14.25" customHeight="1" x14ac:dyDescent="0.35">
      <c r="A205" s="2" t="s">
        <v>209</v>
      </c>
      <c r="B205" s="2" t="s">
        <v>13</v>
      </c>
      <c r="C205" s="2" t="s">
        <v>372</v>
      </c>
      <c r="D205" s="2">
        <v>136299</v>
      </c>
      <c r="E205" s="2">
        <v>1549146</v>
      </c>
      <c r="F205" s="2">
        <f t="shared" si="6"/>
        <v>1412847</v>
      </c>
      <c r="G205" s="2" t="s">
        <v>5</v>
      </c>
      <c r="H205" s="2">
        <f t="shared" si="7"/>
        <v>50</v>
      </c>
      <c r="I205" s="4">
        <v>45609</v>
      </c>
    </row>
    <row r="206" spans="1:9" ht="14.25" customHeight="1" x14ac:dyDescent="0.35">
      <c r="A206" s="2" t="s">
        <v>210</v>
      </c>
      <c r="B206" s="2" t="s">
        <v>13</v>
      </c>
      <c r="C206" s="2" t="s">
        <v>371</v>
      </c>
      <c r="D206" s="2">
        <v>50061</v>
      </c>
      <c r="E206" s="2">
        <v>213241</v>
      </c>
      <c r="F206" s="2">
        <f t="shared" si="6"/>
        <v>163180</v>
      </c>
      <c r="G206" s="2" t="s">
        <v>5</v>
      </c>
      <c r="H206" s="2">
        <f t="shared" si="7"/>
        <v>45</v>
      </c>
      <c r="I206" s="5">
        <v>45637</v>
      </c>
    </row>
    <row r="207" spans="1:9" ht="14.25" customHeight="1" x14ac:dyDescent="0.35">
      <c r="A207" s="2" t="s">
        <v>211</v>
      </c>
      <c r="B207" s="2" t="s">
        <v>13</v>
      </c>
      <c r="C207" s="2" t="s">
        <v>372</v>
      </c>
      <c r="D207" s="2">
        <v>125641</v>
      </c>
      <c r="E207" s="2">
        <v>1666819</v>
      </c>
      <c r="F207" s="2">
        <f t="shared" si="6"/>
        <v>1541178</v>
      </c>
      <c r="G207" s="2" t="s">
        <v>6</v>
      </c>
      <c r="H207" s="2">
        <f t="shared" si="7"/>
        <v>51</v>
      </c>
      <c r="I207" s="5">
        <v>45603</v>
      </c>
    </row>
    <row r="208" spans="1:9" ht="14.25" customHeight="1" x14ac:dyDescent="0.35">
      <c r="A208" s="2" t="s">
        <v>212</v>
      </c>
      <c r="B208" s="2" t="s">
        <v>8</v>
      </c>
      <c r="C208" s="2" t="s">
        <v>369</v>
      </c>
      <c r="D208" s="2">
        <v>16688</v>
      </c>
      <c r="E208" s="2">
        <v>0</v>
      </c>
      <c r="F208" s="2" t="str">
        <f t="shared" si="6"/>
        <v xml:space="preserve"> </v>
      </c>
      <c r="G208" s="2" t="s">
        <v>4</v>
      </c>
      <c r="H208" s="2">
        <f t="shared" si="7"/>
        <v>51</v>
      </c>
      <c r="I208" s="4">
        <v>45648</v>
      </c>
    </row>
    <row r="209" spans="1:9" ht="14.25" customHeight="1" x14ac:dyDescent="0.35">
      <c r="A209" s="2" t="s">
        <v>213</v>
      </c>
      <c r="B209" s="2" t="s">
        <v>366</v>
      </c>
      <c r="C209" s="2" t="s">
        <v>371</v>
      </c>
      <c r="D209" s="2">
        <v>36267</v>
      </c>
      <c r="E209" s="2">
        <v>1620876</v>
      </c>
      <c r="F209" s="2">
        <f t="shared" si="6"/>
        <v>1584609</v>
      </c>
      <c r="G209" s="2" t="s">
        <v>5</v>
      </c>
      <c r="H209" s="2">
        <f t="shared" si="7"/>
        <v>41</v>
      </c>
      <c r="I209" s="4">
        <v>45644</v>
      </c>
    </row>
    <row r="210" spans="1:9" ht="14.25" customHeight="1" x14ac:dyDescent="0.35">
      <c r="A210" s="2" t="s">
        <v>214</v>
      </c>
      <c r="B210" s="2" t="s">
        <v>8</v>
      </c>
      <c r="C210" s="2" t="s">
        <v>371</v>
      </c>
      <c r="D210" s="2">
        <v>64001</v>
      </c>
      <c r="E210" s="2">
        <v>768516</v>
      </c>
      <c r="F210" s="2">
        <f t="shared" si="6"/>
        <v>704515</v>
      </c>
      <c r="G210" s="2" t="s">
        <v>6</v>
      </c>
      <c r="H210" s="2">
        <f t="shared" si="7"/>
        <v>44</v>
      </c>
      <c r="I210" s="5">
        <v>45574</v>
      </c>
    </row>
    <row r="211" spans="1:9" ht="14.25" customHeight="1" x14ac:dyDescent="0.35">
      <c r="A211" s="2" t="s">
        <v>215</v>
      </c>
      <c r="B211" s="2" t="s">
        <v>16</v>
      </c>
      <c r="C211" s="2" t="s">
        <v>369</v>
      </c>
      <c r="D211" s="2">
        <v>10759</v>
      </c>
      <c r="E211" s="2">
        <v>1096330</v>
      </c>
      <c r="F211" s="2">
        <f t="shared" si="6"/>
        <v>1085571</v>
      </c>
      <c r="G211" s="2" t="s">
        <v>5</v>
      </c>
      <c r="H211" s="2">
        <f t="shared" si="7"/>
        <v>41</v>
      </c>
      <c r="I211" s="4">
        <v>45596</v>
      </c>
    </row>
    <row r="212" spans="1:9" ht="14.25" customHeight="1" x14ac:dyDescent="0.35">
      <c r="A212" s="2" t="s">
        <v>216</v>
      </c>
      <c r="B212" s="2" t="s">
        <v>8</v>
      </c>
      <c r="C212" s="2" t="s">
        <v>370</v>
      </c>
      <c r="D212" s="2">
        <v>137818</v>
      </c>
      <c r="E212" s="2">
        <v>1370470</v>
      </c>
      <c r="F212" s="2">
        <f t="shared" si="6"/>
        <v>1232652</v>
      </c>
      <c r="G212" s="2" t="s">
        <v>6</v>
      </c>
      <c r="H212" s="2">
        <f t="shared" si="7"/>
        <v>52</v>
      </c>
      <c r="I212" s="5">
        <v>45576</v>
      </c>
    </row>
    <row r="213" spans="1:9" ht="14.25" customHeight="1" x14ac:dyDescent="0.35">
      <c r="A213" s="2" t="s">
        <v>217</v>
      </c>
      <c r="B213" s="2" t="s">
        <v>368</v>
      </c>
      <c r="C213" s="2" t="s">
        <v>372</v>
      </c>
      <c r="D213" s="2">
        <v>92475</v>
      </c>
      <c r="E213" s="2">
        <v>1088148</v>
      </c>
      <c r="F213" s="2">
        <f t="shared" si="6"/>
        <v>995673</v>
      </c>
      <c r="G213" s="2" t="s">
        <v>6</v>
      </c>
      <c r="H213" s="2">
        <f t="shared" si="7"/>
        <v>41</v>
      </c>
      <c r="I213" s="4">
        <v>45649</v>
      </c>
    </row>
    <row r="214" spans="1:9" ht="14.25" customHeight="1" x14ac:dyDescent="0.35">
      <c r="A214" s="2" t="s">
        <v>218</v>
      </c>
      <c r="B214" s="2" t="s">
        <v>8</v>
      </c>
      <c r="C214" s="2" t="s">
        <v>370</v>
      </c>
      <c r="D214" s="2">
        <v>142022</v>
      </c>
      <c r="E214" s="2">
        <v>0</v>
      </c>
      <c r="F214" s="2" t="str">
        <f t="shared" si="6"/>
        <v xml:space="preserve"> </v>
      </c>
      <c r="G214" s="2" t="s">
        <v>4</v>
      </c>
      <c r="H214" s="2">
        <f t="shared" si="7"/>
        <v>45</v>
      </c>
      <c r="I214" s="5">
        <v>45576</v>
      </c>
    </row>
    <row r="215" spans="1:9" ht="14.25" customHeight="1" x14ac:dyDescent="0.35">
      <c r="A215" s="2" t="s">
        <v>219</v>
      </c>
      <c r="B215" s="2" t="s">
        <v>367</v>
      </c>
      <c r="C215" s="2" t="s">
        <v>371</v>
      </c>
      <c r="D215" s="2">
        <v>34063</v>
      </c>
      <c r="E215" s="2">
        <v>1312051</v>
      </c>
      <c r="F215" s="2">
        <f t="shared" si="6"/>
        <v>1277988</v>
      </c>
      <c r="G215" s="2" t="s">
        <v>6</v>
      </c>
      <c r="H215" s="2">
        <f t="shared" si="7"/>
        <v>52</v>
      </c>
      <c r="I215" s="5">
        <v>45602</v>
      </c>
    </row>
    <row r="216" spans="1:9" ht="14.25" customHeight="1" x14ac:dyDescent="0.35">
      <c r="A216" s="2" t="s">
        <v>220</v>
      </c>
      <c r="B216" s="2" t="s">
        <v>366</v>
      </c>
      <c r="C216" s="2" t="s">
        <v>370</v>
      </c>
      <c r="D216" s="2">
        <v>36635</v>
      </c>
      <c r="E216" s="2">
        <v>0</v>
      </c>
      <c r="F216" s="2" t="str">
        <f t="shared" si="6"/>
        <v xml:space="preserve"> </v>
      </c>
      <c r="G216" s="2" t="s">
        <v>4</v>
      </c>
      <c r="H216" s="2">
        <f t="shared" si="7"/>
        <v>45</v>
      </c>
      <c r="I216" s="4">
        <v>45655</v>
      </c>
    </row>
    <row r="217" spans="1:9" ht="14.25" customHeight="1" x14ac:dyDescent="0.35">
      <c r="A217" s="2" t="s">
        <v>221</v>
      </c>
      <c r="B217" s="2" t="s">
        <v>24</v>
      </c>
      <c r="C217" s="2" t="s">
        <v>369</v>
      </c>
      <c r="D217" s="2">
        <v>16828</v>
      </c>
      <c r="E217" s="2">
        <v>888387</v>
      </c>
      <c r="F217" s="2">
        <f t="shared" si="6"/>
        <v>871559</v>
      </c>
      <c r="G217" s="2" t="s">
        <v>5</v>
      </c>
      <c r="H217" s="2">
        <f t="shared" si="7"/>
        <v>47</v>
      </c>
      <c r="I217" s="5">
        <v>45603</v>
      </c>
    </row>
    <row r="218" spans="1:9" ht="14.25" customHeight="1" x14ac:dyDescent="0.35">
      <c r="A218" s="2" t="s">
        <v>222</v>
      </c>
      <c r="B218" s="2" t="s">
        <v>22</v>
      </c>
      <c r="C218" s="2" t="s">
        <v>370</v>
      </c>
      <c r="D218" s="2">
        <v>47307</v>
      </c>
      <c r="E218" s="2">
        <v>0</v>
      </c>
      <c r="F218" s="2" t="str">
        <f t="shared" si="6"/>
        <v xml:space="preserve"> </v>
      </c>
      <c r="G218" s="2" t="s">
        <v>4</v>
      </c>
      <c r="H218" s="2">
        <f t="shared" si="7"/>
        <v>50</v>
      </c>
      <c r="I218" s="4">
        <v>45615</v>
      </c>
    </row>
    <row r="219" spans="1:9" ht="14.25" customHeight="1" x14ac:dyDescent="0.35">
      <c r="A219" s="2" t="s">
        <v>223</v>
      </c>
      <c r="B219" s="2" t="s">
        <v>13</v>
      </c>
      <c r="C219" s="2" t="s">
        <v>370</v>
      </c>
      <c r="D219" s="2">
        <v>117976</v>
      </c>
      <c r="E219" s="2">
        <v>1498089</v>
      </c>
      <c r="F219" s="2">
        <f t="shared" si="6"/>
        <v>1380113</v>
      </c>
      <c r="G219" s="2" t="s">
        <v>6</v>
      </c>
      <c r="H219" s="2">
        <f t="shared" si="7"/>
        <v>48</v>
      </c>
      <c r="I219" s="4">
        <v>45641</v>
      </c>
    </row>
    <row r="220" spans="1:9" ht="14.25" customHeight="1" x14ac:dyDescent="0.35">
      <c r="A220" s="2" t="s">
        <v>224</v>
      </c>
      <c r="B220" s="2" t="s">
        <v>368</v>
      </c>
      <c r="C220" s="2" t="s">
        <v>369</v>
      </c>
      <c r="D220" s="2">
        <v>12346</v>
      </c>
      <c r="E220" s="2">
        <v>639939</v>
      </c>
      <c r="F220" s="2">
        <f t="shared" si="6"/>
        <v>627593</v>
      </c>
      <c r="G220" s="2" t="s">
        <v>6</v>
      </c>
      <c r="H220" s="2">
        <f t="shared" si="7"/>
        <v>51</v>
      </c>
      <c r="I220" s="4">
        <v>45624</v>
      </c>
    </row>
    <row r="221" spans="1:9" ht="14.25" customHeight="1" x14ac:dyDescent="0.35">
      <c r="A221" s="2" t="s">
        <v>225</v>
      </c>
      <c r="B221" s="2" t="s">
        <v>367</v>
      </c>
      <c r="C221" s="2" t="s">
        <v>370</v>
      </c>
      <c r="D221" s="2">
        <v>41116</v>
      </c>
      <c r="E221" s="2">
        <v>1000737</v>
      </c>
      <c r="F221" s="2">
        <f t="shared" si="6"/>
        <v>959621</v>
      </c>
      <c r="G221" s="2" t="s">
        <v>6</v>
      </c>
      <c r="H221" s="2">
        <f t="shared" si="7"/>
        <v>46</v>
      </c>
      <c r="I221" s="4">
        <v>45647</v>
      </c>
    </row>
    <row r="222" spans="1:9" ht="14.25" customHeight="1" x14ac:dyDescent="0.35">
      <c r="A222" s="2" t="s">
        <v>226</v>
      </c>
      <c r="B222" s="2" t="s">
        <v>24</v>
      </c>
      <c r="C222" s="2" t="s">
        <v>371</v>
      </c>
      <c r="D222" s="2">
        <v>55402</v>
      </c>
      <c r="E222" s="2">
        <v>0</v>
      </c>
      <c r="F222" s="2" t="str">
        <f t="shared" si="6"/>
        <v xml:space="preserve"> </v>
      </c>
      <c r="G222" s="2" t="s">
        <v>4</v>
      </c>
      <c r="H222" s="2">
        <f t="shared" si="7"/>
        <v>45</v>
      </c>
      <c r="I222" s="5">
        <v>45608</v>
      </c>
    </row>
    <row r="223" spans="1:9" ht="14.25" customHeight="1" x14ac:dyDescent="0.35">
      <c r="A223" s="2" t="s">
        <v>227</v>
      </c>
      <c r="B223" s="2" t="s">
        <v>13</v>
      </c>
      <c r="C223" s="2" t="s">
        <v>370</v>
      </c>
      <c r="D223" s="2">
        <v>107008</v>
      </c>
      <c r="E223" s="2">
        <v>235642</v>
      </c>
      <c r="F223" s="2">
        <f t="shared" si="6"/>
        <v>128634</v>
      </c>
      <c r="G223" s="2" t="s">
        <v>6</v>
      </c>
      <c r="H223" s="2">
        <f t="shared" si="7"/>
        <v>41</v>
      </c>
      <c r="I223" s="5">
        <v>45602</v>
      </c>
    </row>
    <row r="224" spans="1:9" ht="14.25" customHeight="1" x14ac:dyDescent="0.35">
      <c r="A224" s="2" t="s">
        <v>228</v>
      </c>
      <c r="B224" s="2" t="s">
        <v>13</v>
      </c>
      <c r="C224" s="2" t="s">
        <v>371</v>
      </c>
      <c r="D224" s="2">
        <v>29650</v>
      </c>
      <c r="E224" s="2">
        <v>547359</v>
      </c>
      <c r="F224" s="2">
        <f t="shared" si="6"/>
        <v>517709</v>
      </c>
      <c r="G224" s="2" t="s">
        <v>6</v>
      </c>
      <c r="H224" s="2">
        <f t="shared" si="7"/>
        <v>47</v>
      </c>
      <c r="I224" s="5">
        <v>45574</v>
      </c>
    </row>
    <row r="225" spans="1:9" ht="14.25" customHeight="1" x14ac:dyDescent="0.35">
      <c r="A225" s="2" t="s">
        <v>229</v>
      </c>
      <c r="B225" s="2" t="s">
        <v>368</v>
      </c>
      <c r="C225" s="2" t="s">
        <v>369</v>
      </c>
      <c r="D225" s="2">
        <v>16944</v>
      </c>
      <c r="E225" s="2">
        <v>0</v>
      </c>
      <c r="F225" s="2" t="str">
        <f t="shared" si="6"/>
        <v xml:space="preserve"> </v>
      </c>
      <c r="G225" s="2" t="s">
        <v>4</v>
      </c>
      <c r="H225" s="2">
        <f t="shared" si="7"/>
        <v>50</v>
      </c>
      <c r="I225" s="4">
        <v>45619</v>
      </c>
    </row>
    <row r="226" spans="1:9" ht="14.25" customHeight="1" x14ac:dyDescent="0.35">
      <c r="A226" s="2" t="s">
        <v>161</v>
      </c>
      <c r="B226" s="2" t="s">
        <v>368</v>
      </c>
      <c r="C226" s="2" t="s">
        <v>372</v>
      </c>
      <c r="D226" s="2">
        <v>95406</v>
      </c>
      <c r="E226" s="2">
        <v>925695</v>
      </c>
      <c r="F226" s="2">
        <f t="shared" si="6"/>
        <v>830289</v>
      </c>
      <c r="G226" s="2" t="s">
        <v>6</v>
      </c>
      <c r="H226" s="2">
        <f t="shared" si="7"/>
        <v>47</v>
      </c>
      <c r="I226" s="5">
        <v>45637</v>
      </c>
    </row>
    <row r="227" spans="1:9" ht="14.25" customHeight="1" x14ac:dyDescent="0.35">
      <c r="A227" s="2" t="s">
        <v>230</v>
      </c>
      <c r="B227" s="2" t="s">
        <v>16</v>
      </c>
      <c r="C227" s="2" t="s">
        <v>370</v>
      </c>
      <c r="D227" s="2">
        <v>96710</v>
      </c>
      <c r="E227" s="2">
        <v>1282430</v>
      </c>
      <c r="F227" s="2">
        <f t="shared" si="6"/>
        <v>1185720</v>
      </c>
      <c r="G227" s="2" t="s">
        <v>6</v>
      </c>
      <c r="H227" s="2">
        <f t="shared" si="7"/>
        <v>49</v>
      </c>
      <c r="I227" s="4">
        <v>45615</v>
      </c>
    </row>
    <row r="228" spans="1:9" ht="14.25" customHeight="1" x14ac:dyDescent="0.35">
      <c r="A228" s="2" t="s">
        <v>231</v>
      </c>
      <c r="B228" s="2" t="s">
        <v>368</v>
      </c>
      <c r="C228" s="2" t="s">
        <v>369</v>
      </c>
      <c r="D228" s="2">
        <v>8018</v>
      </c>
      <c r="E228" s="2">
        <v>690093</v>
      </c>
      <c r="F228" s="2">
        <f t="shared" si="6"/>
        <v>682075</v>
      </c>
      <c r="G228" s="2" t="s">
        <v>6</v>
      </c>
      <c r="H228" s="2">
        <f t="shared" si="7"/>
        <v>41</v>
      </c>
      <c r="I228" s="5">
        <v>45630</v>
      </c>
    </row>
    <row r="229" spans="1:9" ht="14.25" customHeight="1" x14ac:dyDescent="0.35">
      <c r="A229" s="2" t="s">
        <v>205</v>
      </c>
      <c r="B229" s="2" t="s">
        <v>24</v>
      </c>
      <c r="C229" s="2" t="s">
        <v>372</v>
      </c>
      <c r="D229" s="2">
        <v>101772</v>
      </c>
      <c r="E229" s="2">
        <v>1501491</v>
      </c>
      <c r="F229" s="2">
        <f t="shared" si="6"/>
        <v>1399719</v>
      </c>
      <c r="G229" s="2" t="s">
        <v>6</v>
      </c>
      <c r="H229" s="2">
        <f t="shared" si="7"/>
        <v>51</v>
      </c>
      <c r="I229" s="5">
        <v>45575</v>
      </c>
    </row>
    <row r="230" spans="1:9" ht="14.25" customHeight="1" x14ac:dyDescent="0.35">
      <c r="A230" s="2" t="s">
        <v>232</v>
      </c>
      <c r="B230" s="2" t="s">
        <v>8</v>
      </c>
      <c r="C230" s="2" t="s">
        <v>371</v>
      </c>
      <c r="D230" s="2">
        <v>77101</v>
      </c>
      <c r="E230" s="2">
        <v>221397</v>
      </c>
      <c r="F230" s="2">
        <f t="shared" si="6"/>
        <v>144296</v>
      </c>
      <c r="G230" s="2" t="s">
        <v>6</v>
      </c>
      <c r="H230" s="2">
        <f t="shared" si="7"/>
        <v>52</v>
      </c>
      <c r="I230" s="4">
        <v>45643</v>
      </c>
    </row>
    <row r="231" spans="1:9" ht="14.25" customHeight="1" x14ac:dyDescent="0.35">
      <c r="A231" s="2" t="s">
        <v>233</v>
      </c>
      <c r="B231" s="2" t="s">
        <v>8</v>
      </c>
      <c r="C231" s="2" t="s">
        <v>372</v>
      </c>
      <c r="D231" s="2">
        <v>178017</v>
      </c>
      <c r="E231" s="2">
        <v>0</v>
      </c>
      <c r="F231" s="2" t="str">
        <f t="shared" si="6"/>
        <v xml:space="preserve"> </v>
      </c>
      <c r="G231" s="2" t="s">
        <v>4</v>
      </c>
      <c r="H231" s="2">
        <f t="shared" si="7"/>
        <v>49</v>
      </c>
      <c r="I231" s="4">
        <v>45655</v>
      </c>
    </row>
    <row r="232" spans="1:9" ht="14.25" customHeight="1" x14ac:dyDescent="0.35">
      <c r="A232" s="2" t="s">
        <v>234</v>
      </c>
      <c r="B232" s="2" t="s">
        <v>367</v>
      </c>
      <c r="C232" s="2" t="s">
        <v>369</v>
      </c>
      <c r="D232" s="2">
        <v>8971</v>
      </c>
      <c r="E232" s="2">
        <v>1929340</v>
      </c>
      <c r="F232" s="2">
        <f t="shared" si="6"/>
        <v>1920369</v>
      </c>
      <c r="G232" s="2" t="s">
        <v>5</v>
      </c>
      <c r="H232" s="2">
        <f t="shared" si="7"/>
        <v>40</v>
      </c>
      <c r="I232" s="5">
        <v>45629</v>
      </c>
    </row>
    <row r="233" spans="1:9" ht="14.25" customHeight="1" x14ac:dyDescent="0.35">
      <c r="A233" s="2" t="s">
        <v>235</v>
      </c>
      <c r="B233" s="2" t="s">
        <v>8</v>
      </c>
      <c r="C233" s="2" t="s">
        <v>369</v>
      </c>
      <c r="D233" s="2">
        <v>13871</v>
      </c>
      <c r="E233" s="2">
        <v>490688</v>
      </c>
      <c r="F233" s="2">
        <f t="shared" si="6"/>
        <v>476817</v>
      </c>
      <c r="G233" s="2" t="s">
        <v>6</v>
      </c>
      <c r="H233" s="2">
        <f t="shared" si="7"/>
        <v>48</v>
      </c>
      <c r="I233" s="5">
        <v>45569</v>
      </c>
    </row>
    <row r="234" spans="1:9" ht="14.25" customHeight="1" x14ac:dyDescent="0.35">
      <c r="A234" s="2" t="s">
        <v>236</v>
      </c>
      <c r="B234" s="2" t="s">
        <v>367</v>
      </c>
      <c r="C234" s="2" t="s">
        <v>371</v>
      </c>
      <c r="D234" s="2">
        <v>63761</v>
      </c>
      <c r="E234" s="2">
        <v>1853012</v>
      </c>
      <c r="F234" s="2">
        <f t="shared" si="6"/>
        <v>1789251</v>
      </c>
      <c r="G234" s="2" t="s">
        <v>6</v>
      </c>
      <c r="H234" s="2">
        <f t="shared" si="7"/>
        <v>44</v>
      </c>
      <c r="I234" s="4">
        <v>45626</v>
      </c>
    </row>
    <row r="235" spans="1:9" ht="14.25" customHeight="1" x14ac:dyDescent="0.35">
      <c r="A235" s="2" t="s">
        <v>237</v>
      </c>
      <c r="B235" s="2" t="s">
        <v>367</v>
      </c>
      <c r="C235" s="2" t="s">
        <v>370</v>
      </c>
      <c r="D235" s="2">
        <v>132653</v>
      </c>
      <c r="E235" s="2">
        <v>1471221</v>
      </c>
      <c r="F235" s="2">
        <f t="shared" si="6"/>
        <v>1338568</v>
      </c>
      <c r="G235" s="2" t="s">
        <v>6</v>
      </c>
      <c r="H235" s="2">
        <f t="shared" si="7"/>
        <v>44</v>
      </c>
      <c r="I235" s="5">
        <v>45598</v>
      </c>
    </row>
    <row r="236" spans="1:9" ht="14.25" customHeight="1" x14ac:dyDescent="0.35">
      <c r="A236" s="2" t="s">
        <v>238</v>
      </c>
      <c r="B236" s="2" t="s">
        <v>10</v>
      </c>
      <c r="C236" s="2" t="s">
        <v>371</v>
      </c>
      <c r="D236" s="2">
        <v>51192</v>
      </c>
      <c r="E236" s="2">
        <v>0</v>
      </c>
      <c r="F236" s="2" t="str">
        <f t="shared" si="6"/>
        <v xml:space="preserve"> </v>
      </c>
      <c r="G236" s="2" t="s">
        <v>4</v>
      </c>
      <c r="H236" s="2">
        <f t="shared" si="7"/>
        <v>44</v>
      </c>
      <c r="I236" s="4">
        <v>45595</v>
      </c>
    </row>
    <row r="237" spans="1:9" ht="14.25" customHeight="1" x14ac:dyDescent="0.35">
      <c r="A237" s="2" t="s">
        <v>239</v>
      </c>
      <c r="B237" s="2" t="s">
        <v>16</v>
      </c>
      <c r="C237" s="2" t="s">
        <v>370</v>
      </c>
      <c r="D237" s="2">
        <v>50548</v>
      </c>
      <c r="E237" s="2">
        <v>0</v>
      </c>
      <c r="F237" s="2" t="str">
        <f t="shared" si="6"/>
        <v xml:space="preserve"> </v>
      </c>
      <c r="G237" s="2" t="s">
        <v>4</v>
      </c>
      <c r="H237" s="2">
        <f t="shared" si="7"/>
        <v>46</v>
      </c>
      <c r="I237" s="5">
        <v>45599</v>
      </c>
    </row>
    <row r="238" spans="1:9" ht="14.25" customHeight="1" x14ac:dyDescent="0.35">
      <c r="A238" s="2" t="s">
        <v>240</v>
      </c>
      <c r="B238" s="2" t="s">
        <v>13</v>
      </c>
      <c r="C238" s="2" t="s">
        <v>370</v>
      </c>
      <c r="D238" s="2">
        <v>64674</v>
      </c>
      <c r="E238" s="2">
        <v>1498918</v>
      </c>
      <c r="F238" s="2">
        <f t="shared" si="6"/>
        <v>1434244</v>
      </c>
      <c r="G238" s="2" t="s">
        <v>5</v>
      </c>
      <c r="H238" s="2">
        <f t="shared" si="7"/>
        <v>51</v>
      </c>
      <c r="I238" s="4">
        <v>45610</v>
      </c>
    </row>
    <row r="239" spans="1:9" ht="14.25" customHeight="1" x14ac:dyDescent="0.35">
      <c r="A239" s="2" t="s">
        <v>241</v>
      </c>
      <c r="B239" s="2" t="s">
        <v>8</v>
      </c>
      <c r="C239" s="2" t="s">
        <v>371</v>
      </c>
      <c r="D239" s="2">
        <v>60778</v>
      </c>
      <c r="E239" s="2">
        <v>343359</v>
      </c>
      <c r="F239" s="2">
        <f t="shared" si="6"/>
        <v>282581</v>
      </c>
      <c r="G239" s="2" t="s">
        <v>5</v>
      </c>
      <c r="H239" s="2">
        <f t="shared" si="7"/>
        <v>49</v>
      </c>
      <c r="I239" s="4">
        <v>45647</v>
      </c>
    </row>
    <row r="240" spans="1:9" ht="14.25" customHeight="1" x14ac:dyDescent="0.35">
      <c r="A240" s="2" t="s">
        <v>242</v>
      </c>
      <c r="B240" s="2" t="s">
        <v>8</v>
      </c>
      <c r="C240" s="2" t="s">
        <v>369</v>
      </c>
      <c r="D240" s="2">
        <v>11604</v>
      </c>
      <c r="E240" s="2">
        <v>0</v>
      </c>
      <c r="F240" s="2" t="str">
        <f t="shared" si="6"/>
        <v xml:space="preserve"> </v>
      </c>
      <c r="G240" s="2" t="s">
        <v>4</v>
      </c>
      <c r="H240" s="2">
        <f t="shared" si="7"/>
        <v>45</v>
      </c>
      <c r="I240" s="5">
        <v>45631</v>
      </c>
    </row>
    <row r="241" spans="1:9" ht="14.25" customHeight="1" x14ac:dyDescent="0.35">
      <c r="A241" s="2" t="s">
        <v>243</v>
      </c>
      <c r="B241" s="2" t="s">
        <v>8</v>
      </c>
      <c r="C241" s="2" t="s">
        <v>369</v>
      </c>
      <c r="D241" s="2">
        <v>13017</v>
      </c>
      <c r="E241" s="2">
        <v>1326716</v>
      </c>
      <c r="F241" s="2">
        <f t="shared" si="6"/>
        <v>1313699</v>
      </c>
      <c r="G241" s="2" t="s">
        <v>5</v>
      </c>
      <c r="H241" s="2">
        <f t="shared" si="7"/>
        <v>44</v>
      </c>
      <c r="I241" s="5">
        <v>45606</v>
      </c>
    </row>
    <row r="242" spans="1:9" ht="14.25" customHeight="1" x14ac:dyDescent="0.35">
      <c r="A242" s="2" t="s">
        <v>244</v>
      </c>
      <c r="B242" s="2" t="s">
        <v>16</v>
      </c>
      <c r="C242" s="2" t="s">
        <v>369</v>
      </c>
      <c r="D242" s="2">
        <v>12734</v>
      </c>
      <c r="E242" s="2">
        <v>534079</v>
      </c>
      <c r="F242" s="2">
        <f t="shared" si="6"/>
        <v>521345</v>
      </c>
      <c r="G242" s="2" t="s">
        <v>6</v>
      </c>
      <c r="H242" s="2">
        <f t="shared" si="7"/>
        <v>48</v>
      </c>
      <c r="I242" s="5">
        <v>45599</v>
      </c>
    </row>
    <row r="243" spans="1:9" ht="14.25" customHeight="1" x14ac:dyDescent="0.35">
      <c r="A243" s="2" t="s">
        <v>245</v>
      </c>
      <c r="B243" s="2" t="s">
        <v>13</v>
      </c>
      <c r="C243" s="2" t="s">
        <v>370</v>
      </c>
      <c r="D243" s="2">
        <v>137446</v>
      </c>
      <c r="E243" s="2">
        <v>795519</v>
      </c>
      <c r="F243" s="2">
        <f t="shared" si="6"/>
        <v>658073</v>
      </c>
      <c r="G243" s="2" t="s">
        <v>5</v>
      </c>
      <c r="H243" s="2">
        <f t="shared" si="7"/>
        <v>48</v>
      </c>
      <c r="I243" s="4">
        <v>45621</v>
      </c>
    </row>
    <row r="244" spans="1:9" ht="14.25" customHeight="1" x14ac:dyDescent="0.35">
      <c r="A244" s="2" t="s">
        <v>246</v>
      </c>
      <c r="B244" s="2" t="s">
        <v>16</v>
      </c>
      <c r="C244" s="2" t="s">
        <v>371</v>
      </c>
      <c r="D244" s="2">
        <v>52637</v>
      </c>
      <c r="E244" s="2">
        <v>1362343</v>
      </c>
      <c r="F244" s="2">
        <f t="shared" si="6"/>
        <v>1309706</v>
      </c>
      <c r="G244" s="2" t="s">
        <v>6</v>
      </c>
      <c r="H244" s="2">
        <f t="shared" si="7"/>
        <v>49</v>
      </c>
      <c r="I244" s="4">
        <v>45622</v>
      </c>
    </row>
    <row r="245" spans="1:9" ht="14.25" customHeight="1" x14ac:dyDescent="0.35">
      <c r="A245" s="2" t="s">
        <v>247</v>
      </c>
      <c r="B245" s="2" t="s">
        <v>16</v>
      </c>
      <c r="C245" s="2" t="s">
        <v>370</v>
      </c>
      <c r="D245" s="2">
        <v>83262</v>
      </c>
      <c r="E245" s="2">
        <v>93396</v>
      </c>
      <c r="F245" s="2">
        <f t="shared" si="6"/>
        <v>10134</v>
      </c>
      <c r="G245" s="2" t="s">
        <v>6</v>
      </c>
      <c r="H245" s="2">
        <f t="shared" si="7"/>
        <v>50</v>
      </c>
      <c r="I245" s="5">
        <v>45630</v>
      </c>
    </row>
    <row r="246" spans="1:9" ht="14.25" customHeight="1" x14ac:dyDescent="0.35">
      <c r="A246" s="2" t="s">
        <v>248</v>
      </c>
      <c r="B246" s="2" t="s">
        <v>24</v>
      </c>
      <c r="C246" s="2" t="s">
        <v>372</v>
      </c>
      <c r="D246" s="2">
        <v>193967</v>
      </c>
      <c r="E246" s="2">
        <v>0</v>
      </c>
      <c r="F246" s="2" t="str">
        <f t="shared" si="6"/>
        <v xml:space="preserve"> </v>
      </c>
      <c r="G246" s="2" t="s">
        <v>4</v>
      </c>
      <c r="H246" s="2">
        <f t="shared" si="7"/>
        <v>53</v>
      </c>
      <c r="I246" s="5">
        <v>45637</v>
      </c>
    </row>
    <row r="247" spans="1:9" ht="14.25" customHeight="1" x14ac:dyDescent="0.35">
      <c r="A247" s="2" t="s">
        <v>249</v>
      </c>
      <c r="B247" s="2" t="s">
        <v>367</v>
      </c>
      <c r="C247" s="2" t="s">
        <v>369</v>
      </c>
      <c r="D247" s="2">
        <v>24235</v>
      </c>
      <c r="E247" s="2">
        <v>632774</v>
      </c>
      <c r="F247" s="2">
        <f t="shared" si="6"/>
        <v>608539</v>
      </c>
      <c r="G247" s="2" t="s">
        <v>6</v>
      </c>
      <c r="H247" s="2">
        <f t="shared" si="7"/>
        <v>53</v>
      </c>
      <c r="I247" s="4">
        <v>45657</v>
      </c>
    </row>
    <row r="248" spans="1:9" ht="14.25" customHeight="1" x14ac:dyDescent="0.35">
      <c r="A248" s="2" t="s">
        <v>138</v>
      </c>
      <c r="B248" s="2" t="s">
        <v>24</v>
      </c>
      <c r="C248" s="2" t="s">
        <v>371</v>
      </c>
      <c r="D248" s="2">
        <v>97091</v>
      </c>
      <c r="E248" s="2">
        <v>960082</v>
      </c>
      <c r="F248" s="2">
        <f t="shared" si="6"/>
        <v>862991</v>
      </c>
      <c r="G248" s="2" t="s">
        <v>5</v>
      </c>
      <c r="H248" s="2">
        <f t="shared" si="7"/>
        <v>42</v>
      </c>
      <c r="I248" s="4">
        <v>45656</v>
      </c>
    </row>
    <row r="249" spans="1:9" ht="14.25" customHeight="1" x14ac:dyDescent="0.35">
      <c r="A249" s="2" t="s">
        <v>250</v>
      </c>
      <c r="B249" s="2" t="s">
        <v>16</v>
      </c>
      <c r="C249" s="2" t="s">
        <v>370</v>
      </c>
      <c r="D249" s="2">
        <v>112461</v>
      </c>
      <c r="E249" s="2">
        <v>0</v>
      </c>
      <c r="F249" s="2" t="str">
        <f t="shared" si="6"/>
        <v xml:space="preserve"> </v>
      </c>
      <c r="G249" s="2" t="s">
        <v>4</v>
      </c>
      <c r="H249" s="2">
        <f t="shared" si="7"/>
        <v>47</v>
      </c>
      <c r="I249" s="4">
        <v>45579</v>
      </c>
    </row>
    <row r="250" spans="1:9" ht="14.25" customHeight="1" x14ac:dyDescent="0.35">
      <c r="A250" s="2" t="s">
        <v>251</v>
      </c>
      <c r="B250" s="2" t="s">
        <v>366</v>
      </c>
      <c r="C250" s="2" t="s">
        <v>370</v>
      </c>
      <c r="D250" s="2">
        <v>98813</v>
      </c>
      <c r="E250" s="2">
        <v>487195</v>
      </c>
      <c r="F250" s="2">
        <f t="shared" si="6"/>
        <v>388382</v>
      </c>
      <c r="G250" s="2" t="s">
        <v>6</v>
      </c>
      <c r="H250" s="2">
        <f t="shared" si="7"/>
        <v>46</v>
      </c>
      <c r="I250" s="4">
        <v>45616</v>
      </c>
    </row>
    <row r="251" spans="1:9" ht="14.25" customHeight="1" x14ac:dyDescent="0.35">
      <c r="A251" s="2" t="s">
        <v>252</v>
      </c>
      <c r="B251" s="2" t="s">
        <v>10</v>
      </c>
      <c r="C251" s="2" t="s">
        <v>369</v>
      </c>
      <c r="D251" s="2">
        <v>24371</v>
      </c>
      <c r="E251" s="2">
        <v>627308</v>
      </c>
      <c r="F251" s="2">
        <f t="shared" si="6"/>
        <v>602937</v>
      </c>
      <c r="G251" s="2" t="s">
        <v>5</v>
      </c>
      <c r="H251" s="2">
        <f t="shared" si="7"/>
        <v>41</v>
      </c>
      <c r="I251" s="4">
        <v>45610</v>
      </c>
    </row>
    <row r="252" spans="1:9" ht="14.25" customHeight="1" x14ac:dyDescent="0.35">
      <c r="A252" s="2" t="s">
        <v>253</v>
      </c>
      <c r="B252" s="2" t="s">
        <v>368</v>
      </c>
      <c r="C252" s="2" t="s">
        <v>370</v>
      </c>
      <c r="D252" s="2">
        <v>141433</v>
      </c>
      <c r="E252" s="2">
        <v>0</v>
      </c>
      <c r="F252" s="2" t="str">
        <f t="shared" si="6"/>
        <v xml:space="preserve"> </v>
      </c>
      <c r="G252" s="2" t="s">
        <v>4</v>
      </c>
      <c r="H252" s="2">
        <f t="shared" si="7"/>
        <v>50</v>
      </c>
      <c r="I252" s="5">
        <v>45575</v>
      </c>
    </row>
    <row r="253" spans="1:9" ht="14.25" customHeight="1" x14ac:dyDescent="0.35">
      <c r="A253" s="2" t="s">
        <v>254</v>
      </c>
      <c r="B253" s="2" t="s">
        <v>367</v>
      </c>
      <c r="C253" s="2" t="s">
        <v>370</v>
      </c>
      <c r="D253" s="2">
        <v>35425</v>
      </c>
      <c r="E253" s="2">
        <v>818311</v>
      </c>
      <c r="F253" s="2">
        <f t="shared" si="6"/>
        <v>782886</v>
      </c>
      <c r="G253" s="2" t="s">
        <v>6</v>
      </c>
      <c r="H253" s="2">
        <f t="shared" si="7"/>
        <v>47</v>
      </c>
      <c r="I253" s="5">
        <v>45637</v>
      </c>
    </row>
    <row r="254" spans="1:9" ht="14.25" customHeight="1" x14ac:dyDescent="0.35">
      <c r="A254" s="2" t="s">
        <v>255</v>
      </c>
      <c r="B254" s="2" t="s">
        <v>10</v>
      </c>
      <c r="C254" s="2" t="s">
        <v>371</v>
      </c>
      <c r="D254" s="2">
        <v>43524</v>
      </c>
      <c r="E254" s="2">
        <v>605247</v>
      </c>
      <c r="F254" s="2">
        <f t="shared" si="6"/>
        <v>561723</v>
      </c>
      <c r="G254" s="2" t="s">
        <v>5</v>
      </c>
      <c r="H254" s="2">
        <f t="shared" si="7"/>
        <v>43</v>
      </c>
      <c r="I254" s="4">
        <v>45620</v>
      </c>
    </row>
    <row r="255" spans="1:9" ht="14.25" customHeight="1" x14ac:dyDescent="0.35">
      <c r="A255" s="2" t="s">
        <v>256</v>
      </c>
      <c r="B255" s="2" t="s">
        <v>20</v>
      </c>
      <c r="C255" s="2" t="s">
        <v>370</v>
      </c>
      <c r="D255" s="2">
        <v>78632</v>
      </c>
      <c r="E255" s="2">
        <v>334657</v>
      </c>
      <c r="F255" s="2">
        <f t="shared" si="6"/>
        <v>256025</v>
      </c>
      <c r="G255" s="2" t="s">
        <v>5</v>
      </c>
      <c r="H255" s="2">
        <f t="shared" si="7"/>
        <v>47</v>
      </c>
      <c r="I255" s="4">
        <v>45592</v>
      </c>
    </row>
    <row r="256" spans="1:9" ht="14.25" customHeight="1" x14ac:dyDescent="0.35">
      <c r="A256" s="2" t="s">
        <v>257</v>
      </c>
      <c r="B256" s="2" t="s">
        <v>368</v>
      </c>
      <c r="C256" s="2" t="s">
        <v>370</v>
      </c>
      <c r="D256" s="2">
        <v>125696</v>
      </c>
      <c r="E256" s="2">
        <v>1458244</v>
      </c>
      <c r="F256" s="2">
        <f t="shared" si="6"/>
        <v>1332548</v>
      </c>
      <c r="G256" s="2" t="s">
        <v>6</v>
      </c>
      <c r="H256" s="2">
        <f t="shared" si="7"/>
        <v>43</v>
      </c>
      <c r="I256" s="4">
        <v>45614</v>
      </c>
    </row>
    <row r="257" spans="1:9" ht="14.25" customHeight="1" x14ac:dyDescent="0.35">
      <c r="A257" s="2" t="s">
        <v>46</v>
      </c>
      <c r="B257" s="2" t="s">
        <v>20</v>
      </c>
      <c r="C257" s="2" t="s">
        <v>371</v>
      </c>
      <c r="D257" s="2">
        <v>53272</v>
      </c>
      <c r="E257" s="2">
        <v>1596681</v>
      </c>
      <c r="F257" s="2">
        <f t="shared" si="6"/>
        <v>1543409</v>
      </c>
      <c r="G257" s="2" t="s">
        <v>6</v>
      </c>
      <c r="H257" s="2">
        <f t="shared" si="7"/>
        <v>44</v>
      </c>
      <c r="I257" s="4">
        <v>45587</v>
      </c>
    </row>
    <row r="258" spans="1:9" ht="14.25" customHeight="1" x14ac:dyDescent="0.35">
      <c r="A258" s="2" t="s">
        <v>170</v>
      </c>
      <c r="B258" s="2" t="s">
        <v>366</v>
      </c>
      <c r="C258" s="2" t="s">
        <v>370</v>
      </c>
      <c r="D258" s="2">
        <v>40822</v>
      </c>
      <c r="E258" s="2">
        <v>1338799</v>
      </c>
      <c r="F258" s="2">
        <f t="shared" si="6"/>
        <v>1297977</v>
      </c>
      <c r="G258" s="2" t="s">
        <v>5</v>
      </c>
      <c r="H258" s="2">
        <f t="shared" si="7"/>
        <v>45</v>
      </c>
      <c r="I258" s="5">
        <v>45597</v>
      </c>
    </row>
    <row r="259" spans="1:9" ht="14.25" customHeight="1" x14ac:dyDescent="0.35">
      <c r="A259" s="2" t="s">
        <v>258</v>
      </c>
      <c r="B259" s="2" t="s">
        <v>13</v>
      </c>
      <c r="C259" s="2" t="s">
        <v>372</v>
      </c>
      <c r="D259" s="2">
        <v>93455</v>
      </c>
      <c r="E259" s="2">
        <v>1781299</v>
      </c>
      <c r="F259" s="2">
        <f t="shared" ref="F259:F322" si="8">IF(G259="Thành Công",E259-D259," " )</f>
        <v>1687844</v>
      </c>
      <c r="G259" s="2" t="s">
        <v>6</v>
      </c>
      <c r="H259" s="2">
        <f t="shared" ref="H259:H322" si="9">WEEKNUM(I260,2)</f>
        <v>44</v>
      </c>
      <c r="I259" s="5">
        <v>45603</v>
      </c>
    </row>
    <row r="260" spans="1:9" ht="14.25" customHeight="1" x14ac:dyDescent="0.35">
      <c r="A260" s="2" t="s">
        <v>259</v>
      </c>
      <c r="B260" s="2" t="s">
        <v>24</v>
      </c>
      <c r="C260" s="2" t="s">
        <v>372</v>
      </c>
      <c r="D260" s="2">
        <v>88550</v>
      </c>
      <c r="E260" s="2">
        <v>1113569</v>
      </c>
      <c r="F260" s="2">
        <f t="shared" si="8"/>
        <v>1025019</v>
      </c>
      <c r="G260" s="2" t="s">
        <v>6</v>
      </c>
      <c r="H260" s="2">
        <f t="shared" si="9"/>
        <v>51</v>
      </c>
      <c r="I260" s="5">
        <v>45598</v>
      </c>
    </row>
    <row r="261" spans="1:9" ht="14.25" customHeight="1" x14ac:dyDescent="0.35">
      <c r="A261" s="2" t="s">
        <v>260</v>
      </c>
      <c r="B261" s="2" t="s">
        <v>22</v>
      </c>
      <c r="C261" s="2" t="s">
        <v>370</v>
      </c>
      <c r="D261" s="2">
        <v>32015</v>
      </c>
      <c r="E261" s="2">
        <v>1990668</v>
      </c>
      <c r="F261" s="2">
        <f t="shared" si="8"/>
        <v>1958653</v>
      </c>
      <c r="G261" s="2" t="s">
        <v>6</v>
      </c>
      <c r="H261" s="2">
        <f t="shared" si="9"/>
        <v>43</v>
      </c>
      <c r="I261" s="4">
        <v>45647</v>
      </c>
    </row>
    <row r="262" spans="1:9" ht="14.25" customHeight="1" x14ac:dyDescent="0.35">
      <c r="A262" s="2" t="s">
        <v>261</v>
      </c>
      <c r="B262" s="2" t="s">
        <v>13</v>
      </c>
      <c r="C262" s="2" t="s">
        <v>369</v>
      </c>
      <c r="D262" s="2">
        <v>15935</v>
      </c>
      <c r="E262" s="2">
        <v>457208</v>
      </c>
      <c r="F262" s="2">
        <f t="shared" si="8"/>
        <v>441273</v>
      </c>
      <c r="G262" s="2" t="s">
        <v>6</v>
      </c>
      <c r="H262" s="2">
        <f t="shared" si="9"/>
        <v>43</v>
      </c>
      <c r="I262" s="4">
        <v>45586</v>
      </c>
    </row>
    <row r="263" spans="1:9" ht="14.25" customHeight="1" x14ac:dyDescent="0.35">
      <c r="A263" s="2" t="s">
        <v>262</v>
      </c>
      <c r="B263" s="2" t="s">
        <v>8</v>
      </c>
      <c r="C263" s="2" t="s">
        <v>369</v>
      </c>
      <c r="D263" s="2">
        <v>9348</v>
      </c>
      <c r="E263" s="2">
        <v>777821</v>
      </c>
      <c r="F263" s="2">
        <f t="shared" si="8"/>
        <v>768473</v>
      </c>
      <c r="G263" s="2" t="s">
        <v>6</v>
      </c>
      <c r="H263" s="2">
        <f t="shared" si="9"/>
        <v>50</v>
      </c>
      <c r="I263" s="4">
        <v>45589</v>
      </c>
    </row>
    <row r="264" spans="1:9" ht="14.25" customHeight="1" x14ac:dyDescent="0.35">
      <c r="A264" s="2" t="s">
        <v>263</v>
      </c>
      <c r="B264" s="2" t="s">
        <v>16</v>
      </c>
      <c r="C264" s="2" t="s">
        <v>370</v>
      </c>
      <c r="D264" s="2">
        <v>131437</v>
      </c>
      <c r="E264" s="2">
        <v>1925437</v>
      </c>
      <c r="F264" s="2">
        <f t="shared" si="8"/>
        <v>1794000</v>
      </c>
      <c r="G264" s="2" t="s">
        <v>6</v>
      </c>
      <c r="H264" s="2">
        <f t="shared" si="9"/>
        <v>40</v>
      </c>
      <c r="I264" s="5">
        <v>45636</v>
      </c>
    </row>
    <row r="265" spans="1:9" ht="14.25" customHeight="1" x14ac:dyDescent="0.35">
      <c r="A265" s="2" t="s">
        <v>264</v>
      </c>
      <c r="B265" s="2" t="s">
        <v>10</v>
      </c>
      <c r="C265" s="2" t="s">
        <v>370</v>
      </c>
      <c r="D265" s="2">
        <v>103852</v>
      </c>
      <c r="E265" s="2">
        <v>801143</v>
      </c>
      <c r="F265" s="2">
        <f t="shared" si="8"/>
        <v>697291</v>
      </c>
      <c r="G265" s="2" t="s">
        <v>6</v>
      </c>
      <c r="H265" s="2">
        <f t="shared" si="9"/>
        <v>51</v>
      </c>
      <c r="I265" s="5">
        <v>45569</v>
      </c>
    </row>
    <row r="266" spans="1:9" ht="14.25" customHeight="1" x14ac:dyDescent="0.35">
      <c r="A266" s="2" t="s">
        <v>72</v>
      </c>
      <c r="B266" s="2" t="s">
        <v>22</v>
      </c>
      <c r="C266" s="2" t="s">
        <v>372</v>
      </c>
      <c r="D266" s="2">
        <v>80219</v>
      </c>
      <c r="E266" s="2">
        <v>862604</v>
      </c>
      <c r="F266" s="2">
        <f t="shared" si="8"/>
        <v>782385</v>
      </c>
      <c r="G266" s="2" t="s">
        <v>5</v>
      </c>
      <c r="H266" s="2">
        <f t="shared" si="9"/>
        <v>48</v>
      </c>
      <c r="I266" s="4">
        <v>45646</v>
      </c>
    </row>
    <row r="267" spans="1:9" ht="14.25" customHeight="1" x14ac:dyDescent="0.35">
      <c r="A267" s="2" t="s">
        <v>265</v>
      </c>
      <c r="B267" s="2" t="s">
        <v>24</v>
      </c>
      <c r="C267" s="2" t="s">
        <v>370</v>
      </c>
      <c r="D267" s="2">
        <v>137039</v>
      </c>
      <c r="E267" s="2">
        <v>1394653</v>
      </c>
      <c r="F267" s="2">
        <f t="shared" si="8"/>
        <v>1257614</v>
      </c>
      <c r="G267" s="2" t="s">
        <v>6</v>
      </c>
      <c r="H267" s="2">
        <f t="shared" si="9"/>
        <v>46</v>
      </c>
      <c r="I267" s="4">
        <v>45625</v>
      </c>
    </row>
    <row r="268" spans="1:9" ht="14.25" customHeight="1" x14ac:dyDescent="0.35">
      <c r="A268" s="2" t="s">
        <v>266</v>
      </c>
      <c r="B268" s="2" t="s">
        <v>22</v>
      </c>
      <c r="C268" s="2" t="s">
        <v>369</v>
      </c>
      <c r="D268" s="2">
        <v>12063</v>
      </c>
      <c r="E268" s="2">
        <v>1767016</v>
      </c>
      <c r="F268" s="2">
        <f t="shared" si="8"/>
        <v>1754953</v>
      </c>
      <c r="G268" s="2" t="s">
        <v>6</v>
      </c>
      <c r="H268" s="2">
        <f t="shared" si="9"/>
        <v>46</v>
      </c>
      <c r="I268" s="5">
        <v>45608</v>
      </c>
    </row>
    <row r="269" spans="1:9" ht="14.25" customHeight="1" x14ac:dyDescent="0.35">
      <c r="A269" s="2" t="s">
        <v>267</v>
      </c>
      <c r="B269" s="2" t="s">
        <v>368</v>
      </c>
      <c r="C269" s="2" t="s">
        <v>372</v>
      </c>
      <c r="D269" s="2">
        <v>54038</v>
      </c>
      <c r="E269" s="2">
        <v>4441</v>
      </c>
      <c r="F269" s="2">
        <f t="shared" si="8"/>
        <v>-49597</v>
      </c>
      <c r="G269" s="2" t="s">
        <v>5</v>
      </c>
      <c r="H269" s="2">
        <f t="shared" si="9"/>
        <v>49</v>
      </c>
      <c r="I269" s="4">
        <v>45610</v>
      </c>
    </row>
    <row r="270" spans="1:9" ht="14.25" customHeight="1" x14ac:dyDescent="0.35">
      <c r="A270" s="2" t="s">
        <v>268</v>
      </c>
      <c r="B270" s="2" t="s">
        <v>13</v>
      </c>
      <c r="C270" s="2" t="s">
        <v>372</v>
      </c>
      <c r="D270" s="2">
        <v>199874</v>
      </c>
      <c r="E270" s="2">
        <v>426101</v>
      </c>
      <c r="F270" s="2">
        <f t="shared" si="8"/>
        <v>226227</v>
      </c>
      <c r="G270" s="2" t="s">
        <v>6</v>
      </c>
      <c r="H270" s="2">
        <f t="shared" si="9"/>
        <v>45</v>
      </c>
      <c r="I270" s="5">
        <v>45634</v>
      </c>
    </row>
    <row r="271" spans="1:9" ht="14.25" customHeight="1" x14ac:dyDescent="0.35">
      <c r="A271" s="2" t="s">
        <v>269</v>
      </c>
      <c r="B271" s="2" t="s">
        <v>366</v>
      </c>
      <c r="C271" s="2" t="s">
        <v>372</v>
      </c>
      <c r="D271" s="2">
        <v>168086</v>
      </c>
      <c r="E271" s="2">
        <v>281511</v>
      </c>
      <c r="F271" s="2">
        <f t="shared" si="8"/>
        <v>113425</v>
      </c>
      <c r="G271" s="2" t="s">
        <v>6</v>
      </c>
      <c r="H271" s="2">
        <f t="shared" si="9"/>
        <v>50</v>
      </c>
      <c r="I271" s="5">
        <v>45605</v>
      </c>
    </row>
    <row r="272" spans="1:9" ht="14.25" customHeight="1" x14ac:dyDescent="0.35">
      <c r="A272" s="2" t="s">
        <v>270</v>
      </c>
      <c r="B272" s="2" t="s">
        <v>10</v>
      </c>
      <c r="C272" s="2" t="s">
        <v>370</v>
      </c>
      <c r="D272" s="2">
        <v>116275</v>
      </c>
      <c r="E272" s="2">
        <v>745463</v>
      </c>
      <c r="F272" s="2">
        <f t="shared" si="8"/>
        <v>629188</v>
      </c>
      <c r="G272" s="2" t="s">
        <v>5</v>
      </c>
      <c r="H272" s="2">
        <f t="shared" si="9"/>
        <v>52</v>
      </c>
      <c r="I272" s="4">
        <v>45639</v>
      </c>
    </row>
    <row r="273" spans="1:9" ht="14.25" customHeight="1" x14ac:dyDescent="0.35">
      <c r="A273" s="2" t="s">
        <v>271</v>
      </c>
      <c r="B273" s="2" t="s">
        <v>24</v>
      </c>
      <c r="C273" s="2" t="s">
        <v>370</v>
      </c>
      <c r="D273" s="2">
        <v>100711</v>
      </c>
      <c r="E273" s="2">
        <v>59548</v>
      </c>
      <c r="F273" s="2">
        <f t="shared" si="8"/>
        <v>-41163</v>
      </c>
      <c r="G273" s="2" t="s">
        <v>6</v>
      </c>
      <c r="H273" s="2">
        <f t="shared" si="9"/>
        <v>50</v>
      </c>
      <c r="I273" s="4">
        <v>45651</v>
      </c>
    </row>
    <row r="274" spans="1:9" ht="14.25" customHeight="1" x14ac:dyDescent="0.35">
      <c r="A274" s="2" t="s">
        <v>272</v>
      </c>
      <c r="B274" s="2" t="s">
        <v>8</v>
      </c>
      <c r="C274" s="2" t="s">
        <v>371</v>
      </c>
      <c r="D274" s="2">
        <v>77268</v>
      </c>
      <c r="E274" s="2">
        <v>895608</v>
      </c>
      <c r="F274" s="2">
        <f t="shared" si="8"/>
        <v>818340</v>
      </c>
      <c r="G274" s="2" t="s">
        <v>5</v>
      </c>
      <c r="H274" s="2">
        <f t="shared" si="9"/>
        <v>50</v>
      </c>
      <c r="I274" s="4">
        <v>45641</v>
      </c>
    </row>
    <row r="275" spans="1:9" ht="14.25" customHeight="1" x14ac:dyDescent="0.35">
      <c r="A275" s="2" t="s">
        <v>115</v>
      </c>
      <c r="B275" s="2" t="s">
        <v>24</v>
      </c>
      <c r="C275" s="2" t="s">
        <v>371</v>
      </c>
      <c r="D275" s="2">
        <v>99126</v>
      </c>
      <c r="E275" s="2">
        <v>1883899</v>
      </c>
      <c r="F275" s="2">
        <f t="shared" si="8"/>
        <v>1784773</v>
      </c>
      <c r="G275" s="2" t="s">
        <v>6</v>
      </c>
      <c r="H275" s="2">
        <f t="shared" si="9"/>
        <v>46</v>
      </c>
      <c r="I275" s="4">
        <v>45640</v>
      </c>
    </row>
    <row r="276" spans="1:9" ht="14.25" customHeight="1" x14ac:dyDescent="0.35">
      <c r="A276" s="2" t="s">
        <v>273</v>
      </c>
      <c r="B276" s="2" t="s">
        <v>8</v>
      </c>
      <c r="C276" s="2" t="s">
        <v>369</v>
      </c>
      <c r="D276" s="2">
        <v>24028</v>
      </c>
      <c r="E276" s="2">
        <v>0</v>
      </c>
      <c r="F276" s="2" t="str">
        <f t="shared" si="8"/>
        <v xml:space="preserve"> </v>
      </c>
      <c r="G276" s="2" t="s">
        <v>4</v>
      </c>
      <c r="H276" s="2">
        <f t="shared" si="9"/>
        <v>48</v>
      </c>
      <c r="I276" s="4">
        <v>45609</v>
      </c>
    </row>
    <row r="277" spans="1:9" ht="14.25" customHeight="1" x14ac:dyDescent="0.35">
      <c r="A277" s="2" t="s">
        <v>274</v>
      </c>
      <c r="B277" s="2" t="s">
        <v>366</v>
      </c>
      <c r="C277" s="2" t="s">
        <v>371</v>
      </c>
      <c r="D277" s="2">
        <v>99823</v>
      </c>
      <c r="E277" s="2">
        <v>1694704</v>
      </c>
      <c r="F277" s="2">
        <f t="shared" si="8"/>
        <v>1594881</v>
      </c>
      <c r="G277" s="2" t="s">
        <v>5</v>
      </c>
      <c r="H277" s="2">
        <f t="shared" si="9"/>
        <v>52</v>
      </c>
      <c r="I277" s="4">
        <v>45623</v>
      </c>
    </row>
    <row r="278" spans="1:9" ht="14.25" customHeight="1" x14ac:dyDescent="0.35">
      <c r="A278" s="2" t="s">
        <v>275</v>
      </c>
      <c r="B278" s="2" t="s">
        <v>368</v>
      </c>
      <c r="C278" s="2" t="s">
        <v>369</v>
      </c>
      <c r="D278" s="2">
        <v>15228</v>
      </c>
      <c r="E278" s="2">
        <v>1482845</v>
      </c>
      <c r="F278" s="2">
        <f t="shared" si="8"/>
        <v>1467617</v>
      </c>
      <c r="G278" s="2" t="s">
        <v>5</v>
      </c>
      <c r="H278" s="2">
        <f t="shared" si="9"/>
        <v>47</v>
      </c>
      <c r="I278" s="4">
        <v>45650</v>
      </c>
    </row>
    <row r="279" spans="1:9" ht="14.25" customHeight="1" x14ac:dyDescent="0.35">
      <c r="A279" s="2" t="s">
        <v>276</v>
      </c>
      <c r="B279" s="2" t="s">
        <v>10</v>
      </c>
      <c r="C279" s="2" t="s">
        <v>369</v>
      </c>
      <c r="D279" s="2">
        <v>7991</v>
      </c>
      <c r="E279" s="2">
        <v>0</v>
      </c>
      <c r="F279" s="2" t="str">
        <f t="shared" si="8"/>
        <v xml:space="preserve"> </v>
      </c>
      <c r="G279" s="2" t="s">
        <v>4</v>
      </c>
      <c r="H279" s="2">
        <f t="shared" si="9"/>
        <v>45</v>
      </c>
      <c r="I279" s="4">
        <v>45615</v>
      </c>
    </row>
    <row r="280" spans="1:9" ht="14.25" customHeight="1" x14ac:dyDescent="0.35">
      <c r="A280" s="2" t="s">
        <v>199</v>
      </c>
      <c r="B280" s="2" t="s">
        <v>16</v>
      </c>
      <c r="C280" s="2" t="s">
        <v>371</v>
      </c>
      <c r="D280" s="2">
        <v>74017</v>
      </c>
      <c r="E280" s="2">
        <v>1367827</v>
      </c>
      <c r="F280" s="2">
        <f t="shared" si="8"/>
        <v>1293810</v>
      </c>
      <c r="G280" s="2" t="s">
        <v>6</v>
      </c>
      <c r="H280" s="2">
        <f t="shared" si="9"/>
        <v>52</v>
      </c>
      <c r="I280" s="5">
        <v>45606</v>
      </c>
    </row>
    <row r="281" spans="1:9" ht="14.25" customHeight="1" x14ac:dyDescent="0.35">
      <c r="A281" s="2" t="s">
        <v>277</v>
      </c>
      <c r="B281" s="2" t="s">
        <v>13</v>
      </c>
      <c r="C281" s="2" t="s">
        <v>370</v>
      </c>
      <c r="D281" s="2">
        <v>113567</v>
      </c>
      <c r="E281" s="2">
        <v>0</v>
      </c>
      <c r="F281" s="2" t="str">
        <f t="shared" si="8"/>
        <v xml:space="preserve"> </v>
      </c>
      <c r="G281" s="2" t="s">
        <v>4</v>
      </c>
      <c r="H281" s="2">
        <f t="shared" si="9"/>
        <v>48</v>
      </c>
      <c r="I281" s="4">
        <v>45650</v>
      </c>
    </row>
    <row r="282" spans="1:9" ht="14.25" customHeight="1" x14ac:dyDescent="0.35">
      <c r="A282" s="2" t="s">
        <v>278</v>
      </c>
      <c r="B282" s="2" t="s">
        <v>16</v>
      </c>
      <c r="C282" s="2" t="s">
        <v>370</v>
      </c>
      <c r="D282" s="2">
        <v>93368</v>
      </c>
      <c r="E282" s="2">
        <v>247843</v>
      </c>
      <c r="F282" s="2">
        <f t="shared" si="8"/>
        <v>154475</v>
      </c>
      <c r="G282" s="2" t="s">
        <v>6</v>
      </c>
      <c r="H282" s="2">
        <f t="shared" si="9"/>
        <v>50</v>
      </c>
      <c r="I282" s="4">
        <v>45623</v>
      </c>
    </row>
    <row r="283" spans="1:9" ht="14.25" customHeight="1" x14ac:dyDescent="0.35">
      <c r="A283" s="2" t="s">
        <v>115</v>
      </c>
      <c r="B283" s="2" t="s">
        <v>24</v>
      </c>
      <c r="C283" s="2" t="s">
        <v>371</v>
      </c>
      <c r="D283" s="2">
        <v>99126</v>
      </c>
      <c r="E283" s="2">
        <v>1883899</v>
      </c>
      <c r="F283" s="2">
        <f t="shared" si="8"/>
        <v>1784773</v>
      </c>
      <c r="G283" s="2" t="s">
        <v>6</v>
      </c>
      <c r="H283" s="2">
        <f t="shared" si="9"/>
        <v>50</v>
      </c>
      <c r="I283" s="4">
        <v>45640</v>
      </c>
    </row>
    <row r="284" spans="1:9" ht="14.25" customHeight="1" x14ac:dyDescent="0.35">
      <c r="A284" s="2" t="s">
        <v>191</v>
      </c>
      <c r="B284" s="2" t="s">
        <v>368</v>
      </c>
      <c r="C284" s="2" t="s">
        <v>369</v>
      </c>
      <c r="D284" s="2">
        <v>13113</v>
      </c>
      <c r="E284" s="2">
        <v>0</v>
      </c>
      <c r="F284" s="2" t="str">
        <f t="shared" si="8"/>
        <v xml:space="preserve"> </v>
      </c>
      <c r="G284" s="2" t="s">
        <v>4</v>
      </c>
      <c r="H284" s="2">
        <f t="shared" si="9"/>
        <v>43</v>
      </c>
      <c r="I284" s="4">
        <v>45639</v>
      </c>
    </row>
    <row r="285" spans="1:9" ht="14.25" customHeight="1" x14ac:dyDescent="0.35">
      <c r="A285" s="2" t="s">
        <v>279</v>
      </c>
      <c r="B285" s="2" t="s">
        <v>366</v>
      </c>
      <c r="C285" s="2" t="s">
        <v>370</v>
      </c>
      <c r="D285" s="2">
        <v>30666</v>
      </c>
      <c r="E285" s="2">
        <v>1306441</v>
      </c>
      <c r="F285" s="2">
        <f t="shared" si="8"/>
        <v>1275775</v>
      </c>
      <c r="G285" s="2" t="s">
        <v>6</v>
      </c>
      <c r="H285" s="2">
        <f t="shared" si="9"/>
        <v>41</v>
      </c>
      <c r="I285" s="4">
        <v>45589</v>
      </c>
    </row>
    <row r="286" spans="1:9" ht="14.25" customHeight="1" x14ac:dyDescent="0.35">
      <c r="A286" s="2" t="s">
        <v>280</v>
      </c>
      <c r="B286" s="2" t="s">
        <v>8</v>
      </c>
      <c r="C286" s="2" t="s">
        <v>372</v>
      </c>
      <c r="D286" s="2">
        <v>197231</v>
      </c>
      <c r="E286" s="2">
        <v>0</v>
      </c>
      <c r="F286" s="2" t="str">
        <f t="shared" si="8"/>
        <v xml:space="preserve"> </v>
      </c>
      <c r="G286" s="2" t="s">
        <v>4</v>
      </c>
      <c r="H286" s="2">
        <f t="shared" si="9"/>
        <v>43</v>
      </c>
      <c r="I286" s="4">
        <v>45578</v>
      </c>
    </row>
    <row r="287" spans="1:9" ht="14.25" customHeight="1" x14ac:dyDescent="0.35">
      <c r="A287" s="2" t="s">
        <v>74</v>
      </c>
      <c r="B287" s="2" t="s">
        <v>368</v>
      </c>
      <c r="C287" s="2" t="s">
        <v>371</v>
      </c>
      <c r="D287" s="2">
        <v>85682</v>
      </c>
      <c r="E287" s="2">
        <v>1124647</v>
      </c>
      <c r="F287" s="2">
        <f t="shared" si="8"/>
        <v>1038965</v>
      </c>
      <c r="G287" s="2" t="s">
        <v>6</v>
      </c>
      <c r="H287" s="2">
        <f t="shared" si="9"/>
        <v>42</v>
      </c>
      <c r="I287" s="4">
        <v>45588</v>
      </c>
    </row>
    <row r="288" spans="1:9" ht="14.25" customHeight="1" x14ac:dyDescent="0.35">
      <c r="A288" s="2" t="s">
        <v>281</v>
      </c>
      <c r="B288" s="2" t="s">
        <v>16</v>
      </c>
      <c r="C288" s="2" t="s">
        <v>371</v>
      </c>
      <c r="D288" s="2">
        <v>62375</v>
      </c>
      <c r="E288" s="2">
        <v>1601143</v>
      </c>
      <c r="F288" s="2">
        <f t="shared" si="8"/>
        <v>1538768</v>
      </c>
      <c r="G288" s="2" t="s">
        <v>5</v>
      </c>
      <c r="H288" s="2">
        <f t="shared" si="9"/>
        <v>40</v>
      </c>
      <c r="I288" s="4">
        <v>45580</v>
      </c>
    </row>
    <row r="289" spans="1:9" ht="14.25" customHeight="1" x14ac:dyDescent="0.35">
      <c r="A289" s="2" t="s">
        <v>282</v>
      </c>
      <c r="B289" s="2" t="s">
        <v>20</v>
      </c>
      <c r="C289" s="2" t="s">
        <v>369</v>
      </c>
      <c r="D289" s="2">
        <v>27790</v>
      </c>
      <c r="E289" s="2">
        <v>1077942</v>
      </c>
      <c r="F289" s="2">
        <f t="shared" si="8"/>
        <v>1050152</v>
      </c>
      <c r="G289" s="2" t="s">
        <v>6</v>
      </c>
      <c r="H289" s="2">
        <f t="shared" si="9"/>
        <v>51</v>
      </c>
      <c r="I289" s="5">
        <v>45570</v>
      </c>
    </row>
    <row r="290" spans="1:9" ht="14.25" customHeight="1" x14ac:dyDescent="0.35">
      <c r="A290" s="2" t="s">
        <v>283</v>
      </c>
      <c r="B290" s="2" t="s">
        <v>368</v>
      </c>
      <c r="C290" s="2" t="s">
        <v>369</v>
      </c>
      <c r="D290" s="2">
        <v>24737</v>
      </c>
      <c r="E290" s="2">
        <v>1527172</v>
      </c>
      <c r="F290" s="2">
        <f t="shared" si="8"/>
        <v>1502435</v>
      </c>
      <c r="G290" s="2" t="s">
        <v>6</v>
      </c>
      <c r="H290" s="2">
        <f t="shared" si="9"/>
        <v>44</v>
      </c>
      <c r="I290" s="4">
        <v>45647</v>
      </c>
    </row>
    <row r="291" spans="1:9" ht="14.25" customHeight="1" x14ac:dyDescent="0.35">
      <c r="A291" s="2" t="s">
        <v>284</v>
      </c>
      <c r="B291" s="2" t="s">
        <v>367</v>
      </c>
      <c r="C291" s="2" t="s">
        <v>369</v>
      </c>
      <c r="D291" s="2">
        <v>19086</v>
      </c>
      <c r="E291" s="2">
        <v>345653</v>
      </c>
      <c r="F291" s="2">
        <f t="shared" si="8"/>
        <v>326567</v>
      </c>
      <c r="G291" s="2" t="s">
        <v>6</v>
      </c>
      <c r="H291" s="2">
        <f t="shared" si="9"/>
        <v>47</v>
      </c>
      <c r="I291" s="4">
        <v>45595</v>
      </c>
    </row>
    <row r="292" spans="1:9" ht="14.25" customHeight="1" x14ac:dyDescent="0.35">
      <c r="A292" s="2" t="s">
        <v>285</v>
      </c>
      <c r="B292" s="2" t="s">
        <v>16</v>
      </c>
      <c r="C292" s="2" t="s">
        <v>372</v>
      </c>
      <c r="D292" s="2">
        <v>182658</v>
      </c>
      <c r="E292" s="2">
        <v>601455</v>
      </c>
      <c r="F292" s="2">
        <f t="shared" si="8"/>
        <v>418797</v>
      </c>
      <c r="G292" s="2" t="s">
        <v>5</v>
      </c>
      <c r="H292" s="2">
        <f t="shared" si="9"/>
        <v>49</v>
      </c>
      <c r="I292" s="4">
        <v>45619</v>
      </c>
    </row>
    <row r="293" spans="1:9" ht="14.25" customHeight="1" x14ac:dyDescent="0.35">
      <c r="A293" s="2" t="s">
        <v>286</v>
      </c>
      <c r="B293" s="2" t="s">
        <v>10</v>
      </c>
      <c r="C293" s="2" t="s">
        <v>369</v>
      </c>
      <c r="D293" s="2">
        <v>16614</v>
      </c>
      <c r="E293" s="2">
        <v>0</v>
      </c>
      <c r="F293" s="2" t="str">
        <f t="shared" si="8"/>
        <v xml:space="preserve"> </v>
      </c>
      <c r="G293" s="2" t="s">
        <v>4</v>
      </c>
      <c r="H293" s="2">
        <f t="shared" si="9"/>
        <v>41</v>
      </c>
      <c r="I293" s="5">
        <v>45630</v>
      </c>
    </row>
    <row r="294" spans="1:9" ht="14.25" customHeight="1" x14ac:dyDescent="0.35">
      <c r="A294" s="2" t="s">
        <v>67</v>
      </c>
      <c r="B294" s="2" t="s">
        <v>368</v>
      </c>
      <c r="C294" s="2" t="s">
        <v>370</v>
      </c>
      <c r="D294" s="2">
        <v>126243</v>
      </c>
      <c r="E294" s="2">
        <v>318224</v>
      </c>
      <c r="F294" s="2">
        <f t="shared" si="8"/>
        <v>191981</v>
      </c>
      <c r="G294" s="2" t="s">
        <v>5</v>
      </c>
      <c r="H294" s="2">
        <f t="shared" si="9"/>
        <v>42</v>
      </c>
      <c r="I294" s="5">
        <v>45574</v>
      </c>
    </row>
    <row r="295" spans="1:9" ht="14.25" customHeight="1" x14ac:dyDescent="0.35">
      <c r="A295" s="2" t="s">
        <v>287</v>
      </c>
      <c r="B295" s="2" t="s">
        <v>20</v>
      </c>
      <c r="C295" s="2" t="s">
        <v>372</v>
      </c>
      <c r="D295" s="2">
        <v>187713</v>
      </c>
      <c r="E295" s="2">
        <v>289259</v>
      </c>
      <c r="F295" s="2">
        <f t="shared" si="8"/>
        <v>101546</v>
      </c>
      <c r="G295" s="2" t="s">
        <v>5</v>
      </c>
      <c r="H295" s="2">
        <f t="shared" si="9"/>
        <v>42</v>
      </c>
      <c r="I295" s="4">
        <v>45579</v>
      </c>
    </row>
    <row r="296" spans="1:9" ht="14.25" customHeight="1" x14ac:dyDescent="0.35">
      <c r="A296" s="2" t="s">
        <v>288</v>
      </c>
      <c r="B296" s="2" t="s">
        <v>366</v>
      </c>
      <c r="C296" s="2" t="s">
        <v>371</v>
      </c>
      <c r="D296" s="2">
        <v>31245</v>
      </c>
      <c r="E296" s="2">
        <v>0</v>
      </c>
      <c r="F296" s="2" t="str">
        <f t="shared" si="8"/>
        <v xml:space="preserve"> </v>
      </c>
      <c r="G296" s="2" t="s">
        <v>4</v>
      </c>
      <c r="H296" s="2">
        <f t="shared" si="9"/>
        <v>43</v>
      </c>
      <c r="I296" s="4">
        <v>45583</v>
      </c>
    </row>
    <row r="297" spans="1:9" ht="14.25" customHeight="1" x14ac:dyDescent="0.35">
      <c r="A297" s="2" t="s">
        <v>289</v>
      </c>
      <c r="B297" s="2" t="s">
        <v>367</v>
      </c>
      <c r="C297" s="2" t="s">
        <v>371</v>
      </c>
      <c r="D297" s="2">
        <v>77272</v>
      </c>
      <c r="E297" s="2">
        <v>401487</v>
      </c>
      <c r="F297" s="2">
        <f t="shared" si="8"/>
        <v>324215</v>
      </c>
      <c r="G297" s="2" t="s">
        <v>6</v>
      </c>
      <c r="H297" s="2">
        <f t="shared" si="9"/>
        <v>51</v>
      </c>
      <c r="I297" s="4">
        <v>45592</v>
      </c>
    </row>
    <row r="298" spans="1:9" ht="14.25" customHeight="1" x14ac:dyDescent="0.35">
      <c r="A298" s="2" t="s">
        <v>290</v>
      </c>
      <c r="B298" s="2" t="s">
        <v>10</v>
      </c>
      <c r="C298" s="2" t="s">
        <v>370</v>
      </c>
      <c r="D298" s="2">
        <v>144760</v>
      </c>
      <c r="E298" s="2">
        <v>1959270</v>
      </c>
      <c r="F298" s="2">
        <f t="shared" si="8"/>
        <v>1814510</v>
      </c>
      <c r="G298" s="2" t="s">
        <v>5</v>
      </c>
      <c r="H298" s="2">
        <f t="shared" si="9"/>
        <v>44</v>
      </c>
      <c r="I298" s="4">
        <v>45645</v>
      </c>
    </row>
    <row r="299" spans="1:9" ht="14.25" customHeight="1" x14ac:dyDescent="0.35">
      <c r="A299" s="2" t="s">
        <v>291</v>
      </c>
      <c r="B299" s="2" t="s">
        <v>24</v>
      </c>
      <c r="C299" s="2" t="s">
        <v>371</v>
      </c>
      <c r="D299" s="2">
        <v>72443</v>
      </c>
      <c r="E299" s="2">
        <v>70838</v>
      </c>
      <c r="F299" s="2">
        <f t="shared" si="8"/>
        <v>-1605</v>
      </c>
      <c r="G299" s="2" t="s">
        <v>6</v>
      </c>
      <c r="H299" s="2">
        <f t="shared" si="9"/>
        <v>44</v>
      </c>
      <c r="I299" s="5">
        <v>45599</v>
      </c>
    </row>
    <row r="300" spans="1:9" ht="14.25" customHeight="1" x14ac:dyDescent="0.35">
      <c r="A300" s="2" t="s">
        <v>292</v>
      </c>
      <c r="B300" s="2" t="s">
        <v>10</v>
      </c>
      <c r="C300" s="2" t="s">
        <v>371</v>
      </c>
      <c r="D300" s="2">
        <v>99427</v>
      </c>
      <c r="E300" s="2">
        <v>1508170</v>
      </c>
      <c r="F300" s="2">
        <f t="shared" si="8"/>
        <v>1408743</v>
      </c>
      <c r="G300" s="2" t="s">
        <v>5</v>
      </c>
      <c r="H300" s="2">
        <f t="shared" si="9"/>
        <v>53</v>
      </c>
      <c r="I300" s="4">
        <v>45594</v>
      </c>
    </row>
    <row r="301" spans="1:9" ht="14.25" customHeight="1" x14ac:dyDescent="0.35">
      <c r="A301" s="2" t="s">
        <v>293</v>
      </c>
      <c r="B301" s="2" t="s">
        <v>367</v>
      </c>
      <c r="C301" s="2" t="s">
        <v>369</v>
      </c>
      <c r="D301" s="2">
        <v>17737</v>
      </c>
      <c r="E301" s="2">
        <v>1567997</v>
      </c>
      <c r="F301" s="2">
        <f t="shared" si="8"/>
        <v>1550260</v>
      </c>
      <c r="G301" s="2" t="s">
        <v>6</v>
      </c>
      <c r="H301" s="2">
        <f t="shared" si="9"/>
        <v>45</v>
      </c>
      <c r="I301" s="4">
        <v>45656</v>
      </c>
    </row>
    <row r="302" spans="1:9" ht="14.25" customHeight="1" x14ac:dyDescent="0.35">
      <c r="A302" s="2" t="s">
        <v>294</v>
      </c>
      <c r="B302" s="2" t="s">
        <v>13</v>
      </c>
      <c r="C302" s="2" t="s">
        <v>370</v>
      </c>
      <c r="D302" s="2">
        <v>47594</v>
      </c>
      <c r="E302" s="2">
        <v>1001247</v>
      </c>
      <c r="F302" s="2">
        <f t="shared" si="8"/>
        <v>953653</v>
      </c>
      <c r="G302" s="2" t="s">
        <v>5</v>
      </c>
      <c r="H302" s="2">
        <f t="shared" si="9"/>
        <v>44</v>
      </c>
      <c r="I302" s="5">
        <v>45606</v>
      </c>
    </row>
    <row r="303" spans="1:9" ht="14.25" customHeight="1" x14ac:dyDescent="0.35">
      <c r="A303" s="2" t="s">
        <v>292</v>
      </c>
      <c r="B303" s="2" t="s">
        <v>10</v>
      </c>
      <c r="C303" s="2" t="s">
        <v>371</v>
      </c>
      <c r="D303" s="2">
        <v>99427</v>
      </c>
      <c r="E303" s="2">
        <v>1508170</v>
      </c>
      <c r="F303" s="2">
        <f t="shared" si="8"/>
        <v>1408743</v>
      </c>
      <c r="G303" s="2" t="s">
        <v>5</v>
      </c>
      <c r="H303" s="2">
        <f t="shared" si="9"/>
        <v>48</v>
      </c>
      <c r="I303" s="4">
        <v>45594</v>
      </c>
    </row>
    <row r="304" spans="1:9" ht="14.25" customHeight="1" x14ac:dyDescent="0.35">
      <c r="A304" s="2" t="s">
        <v>295</v>
      </c>
      <c r="B304" s="2" t="s">
        <v>20</v>
      </c>
      <c r="C304" s="2" t="s">
        <v>371</v>
      </c>
      <c r="D304" s="2">
        <v>21064</v>
      </c>
      <c r="E304" s="2">
        <v>1123985</v>
      </c>
      <c r="F304" s="2">
        <f t="shared" si="8"/>
        <v>1102921</v>
      </c>
      <c r="G304" s="2" t="s">
        <v>5</v>
      </c>
      <c r="H304" s="2">
        <f t="shared" si="9"/>
        <v>53</v>
      </c>
      <c r="I304" s="4">
        <v>45626</v>
      </c>
    </row>
    <row r="305" spans="1:9" ht="14.25" customHeight="1" x14ac:dyDescent="0.35">
      <c r="A305" s="2" t="s">
        <v>296</v>
      </c>
      <c r="B305" s="2" t="s">
        <v>10</v>
      </c>
      <c r="C305" s="2" t="s">
        <v>370</v>
      </c>
      <c r="D305" s="2">
        <v>87339</v>
      </c>
      <c r="E305" s="2">
        <v>1232242</v>
      </c>
      <c r="F305" s="2">
        <f t="shared" si="8"/>
        <v>1144903</v>
      </c>
      <c r="G305" s="2" t="s">
        <v>6</v>
      </c>
      <c r="H305" s="2">
        <f t="shared" si="9"/>
        <v>49</v>
      </c>
      <c r="I305" s="4">
        <v>45657</v>
      </c>
    </row>
    <row r="306" spans="1:9" ht="14.25" customHeight="1" x14ac:dyDescent="0.35">
      <c r="A306" s="2" t="s">
        <v>297</v>
      </c>
      <c r="B306" s="2" t="s">
        <v>367</v>
      </c>
      <c r="C306" s="2" t="s">
        <v>372</v>
      </c>
      <c r="D306" s="2">
        <v>63852</v>
      </c>
      <c r="E306" s="2">
        <v>680308</v>
      </c>
      <c r="F306" s="2">
        <f t="shared" si="8"/>
        <v>616456</v>
      </c>
      <c r="G306" s="2" t="s">
        <v>5</v>
      </c>
      <c r="H306" s="2">
        <f t="shared" si="9"/>
        <v>46</v>
      </c>
      <c r="I306" s="5">
        <v>45634</v>
      </c>
    </row>
    <row r="307" spans="1:9" ht="14.25" customHeight="1" x14ac:dyDescent="0.35">
      <c r="A307" s="2" t="s">
        <v>162</v>
      </c>
      <c r="B307" s="2" t="s">
        <v>24</v>
      </c>
      <c r="C307" s="2" t="s">
        <v>370</v>
      </c>
      <c r="D307" s="2">
        <v>106923</v>
      </c>
      <c r="E307" s="2">
        <v>901076</v>
      </c>
      <c r="F307" s="2">
        <f t="shared" si="8"/>
        <v>794153</v>
      </c>
      <c r="G307" s="2" t="s">
        <v>6</v>
      </c>
      <c r="H307" s="2">
        <f t="shared" si="9"/>
        <v>52</v>
      </c>
      <c r="I307" s="4">
        <v>45610</v>
      </c>
    </row>
    <row r="308" spans="1:9" ht="14.25" customHeight="1" x14ac:dyDescent="0.35">
      <c r="A308" s="2" t="s">
        <v>298</v>
      </c>
      <c r="B308" s="2" t="s">
        <v>366</v>
      </c>
      <c r="C308" s="2" t="s">
        <v>371</v>
      </c>
      <c r="D308" s="2">
        <v>24000</v>
      </c>
      <c r="E308" s="2">
        <v>0</v>
      </c>
      <c r="F308" s="2" t="str">
        <f t="shared" si="8"/>
        <v xml:space="preserve"> </v>
      </c>
      <c r="G308" s="2" t="s">
        <v>4</v>
      </c>
      <c r="H308" s="2">
        <f t="shared" si="9"/>
        <v>42</v>
      </c>
      <c r="I308" s="4">
        <v>45654</v>
      </c>
    </row>
    <row r="309" spans="1:9" ht="14.25" customHeight="1" x14ac:dyDescent="0.35">
      <c r="A309" s="2" t="s">
        <v>299</v>
      </c>
      <c r="B309" s="2" t="s">
        <v>367</v>
      </c>
      <c r="C309" s="2" t="s">
        <v>371</v>
      </c>
      <c r="D309" s="2">
        <v>95878</v>
      </c>
      <c r="E309" s="2">
        <v>1384749</v>
      </c>
      <c r="F309" s="2">
        <f t="shared" si="8"/>
        <v>1288871</v>
      </c>
      <c r="G309" s="2" t="s">
        <v>6</v>
      </c>
      <c r="H309" s="2">
        <f t="shared" si="9"/>
        <v>43</v>
      </c>
      <c r="I309" s="4">
        <v>45585</v>
      </c>
    </row>
    <row r="310" spans="1:9" ht="14.25" customHeight="1" x14ac:dyDescent="0.35">
      <c r="A310" s="2" t="s">
        <v>300</v>
      </c>
      <c r="B310" s="2" t="s">
        <v>368</v>
      </c>
      <c r="C310" s="2" t="s">
        <v>370</v>
      </c>
      <c r="D310" s="2">
        <v>45592</v>
      </c>
      <c r="E310" s="2">
        <v>1345493</v>
      </c>
      <c r="F310" s="2">
        <f t="shared" si="8"/>
        <v>1299901</v>
      </c>
      <c r="G310" s="2" t="s">
        <v>5</v>
      </c>
      <c r="H310" s="2">
        <f t="shared" si="9"/>
        <v>49</v>
      </c>
      <c r="I310" s="4">
        <v>45589</v>
      </c>
    </row>
    <row r="311" spans="1:9" ht="14.25" customHeight="1" x14ac:dyDescent="0.35">
      <c r="A311" s="2" t="s">
        <v>301</v>
      </c>
      <c r="B311" s="2" t="s">
        <v>13</v>
      </c>
      <c r="C311" s="2" t="s">
        <v>369</v>
      </c>
      <c r="D311" s="2">
        <v>13790</v>
      </c>
      <c r="E311" s="2">
        <v>653409</v>
      </c>
      <c r="F311" s="2">
        <f t="shared" si="8"/>
        <v>639619</v>
      </c>
      <c r="G311" s="2" t="s">
        <v>6</v>
      </c>
      <c r="H311" s="2">
        <f t="shared" si="9"/>
        <v>42</v>
      </c>
      <c r="I311" s="5">
        <v>45630</v>
      </c>
    </row>
    <row r="312" spans="1:9" ht="14.25" customHeight="1" x14ac:dyDescent="0.35">
      <c r="A312" s="2" t="s">
        <v>302</v>
      </c>
      <c r="B312" s="2" t="s">
        <v>367</v>
      </c>
      <c r="C312" s="2" t="s">
        <v>370</v>
      </c>
      <c r="D312" s="2">
        <v>40312</v>
      </c>
      <c r="E312" s="2">
        <v>1713287</v>
      </c>
      <c r="F312" s="2">
        <f t="shared" si="8"/>
        <v>1672975</v>
      </c>
      <c r="G312" s="2" t="s">
        <v>6</v>
      </c>
      <c r="H312" s="2">
        <f t="shared" si="9"/>
        <v>40</v>
      </c>
      <c r="I312" s="4">
        <v>45580</v>
      </c>
    </row>
    <row r="313" spans="1:9" ht="14.25" customHeight="1" x14ac:dyDescent="0.35">
      <c r="A313" s="2" t="s">
        <v>303</v>
      </c>
      <c r="B313" s="2" t="s">
        <v>13</v>
      </c>
      <c r="C313" s="2" t="s">
        <v>369</v>
      </c>
      <c r="D313" s="2">
        <v>27949</v>
      </c>
      <c r="E313" s="2">
        <v>0</v>
      </c>
      <c r="F313" s="2" t="str">
        <f t="shared" si="8"/>
        <v xml:space="preserve"> </v>
      </c>
      <c r="G313" s="2" t="s">
        <v>4</v>
      </c>
      <c r="H313" s="2">
        <f t="shared" si="9"/>
        <v>45</v>
      </c>
      <c r="I313" s="5">
        <v>45568</v>
      </c>
    </row>
    <row r="314" spans="1:9" ht="14.25" customHeight="1" x14ac:dyDescent="0.35">
      <c r="A314" s="2" t="s">
        <v>304</v>
      </c>
      <c r="B314" s="2" t="s">
        <v>24</v>
      </c>
      <c r="C314" s="2" t="s">
        <v>369</v>
      </c>
      <c r="D314" s="2">
        <v>17805</v>
      </c>
      <c r="E314" s="2">
        <v>625508</v>
      </c>
      <c r="F314" s="2">
        <f t="shared" si="8"/>
        <v>607703</v>
      </c>
      <c r="G314" s="2" t="s">
        <v>6</v>
      </c>
      <c r="H314" s="2">
        <f t="shared" si="9"/>
        <v>48</v>
      </c>
      <c r="I314" s="5">
        <v>45602</v>
      </c>
    </row>
    <row r="315" spans="1:9" ht="14.25" customHeight="1" x14ac:dyDescent="0.35">
      <c r="A315" s="2" t="s">
        <v>305</v>
      </c>
      <c r="B315" s="2" t="s">
        <v>8</v>
      </c>
      <c r="C315" s="2" t="s">
        <v>372</v>
      </c>
      <c r="D315" s="2">
        <v>75680</v>
      </c>
      <c r="E315" s="2">
        <v>1156467</v>
      </c>
      <c r="F315" s="2">
        <f t="shared" si="8"/>
        <v>1080787</v>
      </c>
      <c r="G315" s="2" t="s">
        <v>6</v>
      </c>
      <c r="H315" s="2">
        <f t="shared" si="9"/>
        <v>41</v>
      </c>
      <c r="I315" s="4">
        <v>45621</v>
      </c>
    </row>
    <row r="316" spans="1:9" ht="14.25" customHeight="1" x14ac:dyDescent="0.35">
      <c r="A316" s="2" t="s">
        <v>306</v>
      </c>
      <c r="B316" s="2" t="s">
        <v>13</v>
      </c>
      <c r="C316" s="2" t="s">
        <v>371</v>
      </c>
      <c r="D316" s="2">
        <v>89315</v>
      </c>
      <c r="E316" s="2">
        <v>1389039</v>
      </c>
      <c r="F316" s="2">
        <f t="shared" si="8"/>
        <v>1299724</v>
      </c>
      <c r="G316" s="2" t="s">
        <v>5</v>
      </c>
      <c r="H316" s="2">
        <f t="shared" si="9"/>
        <v>46</v>
      </c>
      <c r="I316" s="5">
        <v>45574</v>
      </c>
    </row>
    <row r="317" spans="1:9" ht="14.25" customHeight="1" x14ac:dyDescent="0.35">
      <c r="A317" s="2" t="s">
        <v>307</v>
      </c>
      <c r="B317" s="2" t="s">
        <v>13</v>
      </c>
      <c r="C317" s="2" t="s">
        <v>372</v>
      </c>
      <c r="D317" s="2">
        <v>140472</v>
      </c>
      <c r="E317" s="2">
        <v>37647</v>
      </c>
      <c r="F317" s="2">
        <f t="shared" si="8"/>
        <v>-102825</v>
      </c>
      <c r="G317" s="2" t="s">
        <v>6</v>
      </c>
      <c r="H317" s="2">
        <f t="shared" si="9"/>
        <v>42</v>
      </c>
      <c r="I317" s="5">
        <v>45608</v>
      </c>
    </row>
    <row r="318" spans="1:9" ht="14.25" customHeight="1" x14ac:dyDescent="0.35">
      <c r="A318" s="2" t="s">
        <v>148</v>
      </c>
      <c r="B318" s="2" t="s">
        <v>10</v>
      </c>
      <c r="C318" s="2" t="s">
        <v>369</v>
      </c>
      <c r="D318" s="2">
        <v>26439</v>
      </c>
      <c r="E318" s="2">
        <v>538019</v>
      </c>
      <c r="F318" s="2">
        <f t="shared" si="8"/>
        <v>511580</v>
      </c>
      <c r="G318" s="2" t="s">
        <v>5</v>
      </c>
      <c r="H318" s="2">
        <f t="shared" si="9"/>
        <v>44</v>
      </c>
      <c r="I318" s="4">
        <v>45585</v>
      </c>
    </row>
    <row r="319" spans="1:9" ht="14.25" customHeight="1" x14ac:dyDescent="0.35">
      <c r="A319" s="2" t="s">
        <v>308</v>
      </c>
      <c r="B319" s="2" t="s">
        <v>24</v>
      </c>
      <c r="C319" s="2" t="s">
        <v>370</v>
      </c>
      <c r="D319" s="2">
        <v>87685</v>
      </c>
      <c r="E319" s="2">
        <v>0</v>
      </c>
      <c r="F319" s="2" t="str">
        <f t="shared" si="8"/>
        <v xml:space="preserve"> </v>
      </c>
      <c r="G319" s="2" t="s">
        <v>4</v>
      </c>
      <c r="H319" s="2">
        <f t="shared" si="9"/>
        <v>43</v>
      </c>
      <c r="I319" s="5">
        <v>45599</v>
      </c>
    </row>
    <row r="320" spans="1:9" ht="14.25" customHeight="1" x14ac:dyDescent="0.35">
      <c r="A320" s="2" t="s">
        <v>309</v>
      </c>
      <c r="B320" s="2" t="s">
        <v>16</v>
      </c>
      <c r="C320" s="2" t="s">
        <v>370</v>
      </c>
      <c r="D320" s="2">
        <v>77989</v>
      </c>
      <c r="E320" s="2">
        <v>1374491</v>
      </c>
      <c r="F320" s="2">
        <f t="shared" si="8"/>
        <v>1296502</v>
      </c>
      <c r="G320" s="2" t="s">
        <v>6</v>
      </c>
      <c r="H320" s="2">
        <f t="shared" si="9"/>
        <v>44</v>
      </c>
      <c r="I320" s="4">
        <v>45591</v>
      </c>
    </row>
    <row r="321" spans="1:9" ht="14.25" customHeight="1" x14ac:dyDescent="0.35">
      <c r="A321" s="2" t="s">
        <v>310</v>
      </c>
      <c r="B321" s="2" t="s">
        <v>368</v>
      </c>
      <c r="C321" s="2" t="s">
        <v>370</v>
      </c>
      <c r="D321" s="2">
        <v>142143</v>
      </c>
      <c r="E321" s="2">
        <v>1359362</v>
      </c>
      <c r="F321" s="2">
        <f t="shared" si="8"/>
        <v>1217219</v>
      </c>
      <c r="G321" s="2" t="s">
        <v>6</v>
      </c>
      <c r="H321" s="2">
        <f t="shared" si="9"/>
        <v>49</v>
      </c>
      <c r="I321" s="4">
        <v>45595</v>
      </c>
    </row>
    <row r="322" spans="1:9" ht="14.25" customHeight="1" x14ac:dyDescent="0.35">
      <c r="A322" s="2" t="s">
        <v>311</v>
      </c>
      <c r="B322" s="2" t="s">
        <v>13</v>
      </c>
      <c r="C322" s="2" t="s">
        <v>372</v>
      </c>
      <c r="D322" s="2">
        <v>68227</v>
      </c>
      <c r="E322" s="2">
        <v>455687</v>
      </c>
      <c r="F322" s="2">
        <f t="shared" si="8"/>
        <v>387460</v>
      </c>
      <c r="G322" s="2" t="s">
        <v>6</v>
      </c>
      <c r="H322" s="2">
        <f t="shared" si="9"/>
        <v>52</v>
      </c>
      <c r="I322" s="5">
        <v>45628</v>
      </c>
    </row>
    <row r="323" spans="1:9" ht="14.25" customHeight="1" x14ac:dyDescent="0.35">
      <c r="A323" s="2" t="s">
        <v>312</v>
      </c>
      <c r="B323" s="2" t="s">
        <v>13</v>
      </c>
      <c r="C323" s="2" t="s">
        <v>370</v>
      </c>
      <c r="D323" s="2">
        <v>37670</v>
      </c>
      <c r="E323" s="2">
        <v>1763036</v>
      </c>
      <c r="F323" s="2">
        <f t="shared" ref="F323:F379" si="10">IF(G323="Thành Công",E323-D323," " )</f>
        <v>1725366</v>
      </c>
      <c r="G323" s="2" t="s">
        <v>5</v>
      </c>
      <c r="H323" s="2">
        <f t="shared" ref="H323:H379" si="11">WEEKNUM(I324,2)</f>
        <v>42</v>
      </c>
      <c r="I323" s="4">
        <v>45649</v>
      </c>
    </row>
    <row r="324" spans="1:9" ht="14.25" customHeight="1" x14ac:dyDescent="0.35">
      <c r="A324" s="2" t="s">
        <v>313</v>
      </c>
      <c r="B324" s="2" t="s">
        <v>13</v>
      </c>
      <c r="C324" s="2" t="s">
        <v>370</v>
      </c>
      <c r="D324" s="2">
        <v>94926</v>
      </c>
      <c r="E324" s="2">
        <v>73532</v>
      </c>
      <c r="F324" s="2">
        <f t="shared" si="10"/>
        <v>-21394</v>
      </c>
      <c r="G324" s="2" t="s">
        <v>6</v>
      </c>
      <c r="H324" s="2">
        <f t="shared" si="11"/>
        <v>49</v>
      </c>
      <c r="I324" s="4">
        <v>45583</v>
      </c>
    </row>
    <row r="325" spans="1:9" ht="14.25" customHeight="1" x14ac:dyDescent="0.35">
      <c r="A325" s="2" t="s">
        <v>314</v>
      </c>
      <c r="B325" s="2" t="s">
        <v>22</v>
      </c>
      <c r="C325" s="2" t="s">
        <v>371</v>
      </c>
      <c r="D325" s="2">
        <v>63064</v>
      </c>
      <c r="E325" s="2">
        <v>21139</v>
      </c>
      <c r="F325" s="2">
        <f t="shared" si="10"/>
        <v>-41925</v>
      </c>
      <c r="G325" s="2" t="s">
        <v>6</v>
      </c>
      <c r="H325" s="2">
        <f t="shared" si="11"/>
        <v>46</v>
      </c>
      <c r="I325" s="5">
        <v>45630</v>
      </c>
    </row>
    <row r="326" spans="1:9" ht="14.25" customHeight="1" x14ac:dyDescent="0.35">
      <c r="A326" s="2" t="s">
        <v>315</v>
      </c>
      <c r="B326" s="2" t="s">
        <v>367</v>
      </c>
      <c r="C326" s="2" t="s">
        <v>371</v>
      </c>
      <c r="D326" s="2">
        <v>95250</v>
      </c>
      <c r="E326" s="2">
        <v>1965692</v>
      </c>
      <c r="F326" s="2">
        <f t="shared" si="10"/>
        <v>1870442</v>
      </c>
      <c r="G326" s="2" t="s">
        <v>6</v>
      </c>
      <c r="H326" s="2">
        <f t="shared" si="11"/>
        <v>47</v>
      </c>
      <c r="I326" s="4">
        <v>45612</v>
      </c>
    </row>
    <row r="327" spans="1:9" ht="14.25" customHeight="1" x14ac:dyDescent="0.35">
      <c r="A327" s="2" t="s">
        <v>316</v>
      </c>
      <c r="B327" s="2" t="s">
        <v>8</v>
      </c>
      <c r="C327" s="2" t="s">
        <v>371</v>
      </c>
      <c r="D327" s="2">
        <v>54989</v>
      </c>
      <c r="E327" s="2">
        <v>473058</v>
      </c>
      <c r="F327" s="2">
        <f t="shared" si="10"/>
        <v>418069</v>
      </c>
      <c r="G327" s="2" t="s">
        <v>6</v>
      </c>
      <c r="H327" s="2">
        <f t="shared" si="11"/>
        <v>40</v>
      </c>
      <c r="I327" s="4">
        <v>45616</v>
      </c>
    </row>
    <row r="328" spans="1:9" ht="14.25" customHeight="1" x14ac:dyDescent="0.35">
      <c r="A328" s="2" t="s">
        <v>317</v>
      </c>
      <c r="B328" s="2" t="s">
        <v>8</v>
      </c>
      <c r="C328" s="2" t="s">
        <v>372</v>
      </c>
      <c r="D328" s="2">
        <v>97705</v>
      </c>
      <c r="E328" s="2">
        <v>1993703</v>
      </c>
      <c r="F328" s="2">
        <f t="shared" si="10"/>
        <v>1895998</v>
      </c>
      <c r="G328" s="2" t="s">
        <v>5</v>
      </c>
      <c r="H328" s="2">
        <f t="shared" si="11"/>
        <v>45</v>
      </c>
      <c r="I328" s="5">
        <v>45571</v>
      </c>
    </row>
    <row r="329" spans="1:9" ht="14.25" customHeight="1" x14ac:dyDescent="0.35">
      <c r="A329" s="2" t="s">
        <v>318</v>
      </c>
      <c r="B329" s="2" t="s">
        <v>22</v>
      </c>
      <c r="C329" s="2" t="s">
        <v>371</v>
      </c>
      <c r="D329" s="2">
        <v>44466</v>
      </c>
      <c r="E329" s="2">
        <v>0</v>
      </c>
      <c r="F329" s="2" t="str">
        <f t="shared" si="10"/>
        <v xml:space="preserve"> </v>
      </c>
      <c r="G329" s="2" t="s">
        <v>4</v>
      </c>
      <c r="H329" s="2">
        <f t="shared" si="11"/>
        <v>50</v>
      </c>
      <c r="I329" s="5">
        <v>45605</v>
      </c>
    </row>
    <row r="330" spans="1:9" ht="14.25" customHeight="1" x14ac:dyDescent="0.35">
      <c r="A330" s="2" t="s">
        <v>319</v>
      </c>
      <c r="B330" s="2" t="s">
        <v>22</v>
      </c>
      <c r="C330" s="2" t="s">
        <v>370</v>
      </c>
      <c r="D330" s="2">
        <v>115881</v>
      </c>
      <c r="E330" s="2">
        <v>731754</v>
      </c>
      <c r="F330" s="2">
        <f t="shared" si="10"/>
        <v>615873</v>
      </c>
      <c r="G330" s="2" t="s">
        <v>6</v>
      </c>
      <c r="H330" s="2">
        <f t="shared" si="11"/>
        <v>42</v>
      </c>
      <c r="I330" s="5">
        <v>45636</v>
      </c>
    </row>
    <row r="331" spans="1:9" ht="14.25" customHeight="1" x14ac:dyDescent="0.35">
      <c r="A331" s="2" t="s">
        <v>320</v>
      </c>
      <c r="B331" s="2" t="s">
        <v>366</v>
      </c>
      <c r="C331" s="2" t="s">
        <v>369</v>
      </c>
      <c r="D331" s="2">
        <v>19105</v>
      </c>
      <c r="E331" s="2">
        <v>929295</v>
      </c>
      <c r="F331" s="2">
        <f t="shared" si="10"/>
        <v>910190</v>
      </c>
      <c r="G331" s="2" t="s">
        <v>5</v>
      </c>
      <c r="H331" s="2">
        <f t="shared" si="11"/>
        <v>41</v>
      </c>
      <c r="I331" s="4">
        <v>45584</v>
      </c>
    </row>
    <row r="332" spans="1:9" ht="14.25" customHeight="1" x14ac:dyDescent="0.35">
      <c r="A332" s="2" t="s">
        <v>321</v>
      </c>
      <c r="B332" s="2" t="s">
        <v>8</v>
      </c>
      <c r="C332" s="2" t="s">
        <v>369</v>
      </c>
      <c r="D332" s="2">
        <v>23334</v>
      </c>
      <c r="E332" s="2">
        <v>1800480</v>
      </c>
      <c r="F332" s="2">
        <f t="shared" si="10"/>
        <v>1777146</v>
      </c>
      <c r="G332" s="2" t="s">
        <v>6</v>
      </c>
      <c r="H332" s="2">
        <f t="shared" si="11"/>
        <v>44</v>
      </c>
      <c r="I332" s="5">
        <v>45575</v>
      </c>
    </row>
    <row r="333" spans="1:9" ht="14.25" customHeight="1" x14ac:dyDescent="0.35">
      <c r="A333" s="2" t="s">
        <v>76</v>
      </c>
      <c r="B333" s="2" t="s">
        <v>8</v>
      </c>
      <c r="C333" s="2" t="s">
        <v>371</v>
      </c>
      <c r="D333" s="2">
        <v>63335</v>
      </c>
      <c r="E333" s="2">
        <v>861484</v>
      </c>
      <c r="F333" s="2">
        <f t="shared" si="10"/>
        <v>798149</v>
      </c>
      <c r="G333" s="2" t="s">
        <v>5</v>
      </c>
      <c r="H333" s="2">
        <f t="shared" si="11"/>
        <v>50</v>
      </c>
      <c r="I333" s="5">
        <v>45598</v>
      </c>
    </row>
    <row r="334" spans="1:9" ht="14.25" customHeight="1" x14ac:dyDescent="0.35">
      <c r="A334" s="2" t="s">
        <v>14</v>
      </c>
      <c r="B334" s="2" t="s">
        <v>10</v>
      </c>
      <c r="C334" s="2" t="s">
        <v>369</v>
      </c>
      <c r="D334" s="2">
        <v>11573</v>
      </c>
      <c r="E334" s="2">
        <v>1774467</v>
      </c>
      <c r="F334" s="2">
        <f t="shared" si="10"/>
        <v>1762894</v>
      </c>
      <c r="G334" s="2" t="s">
        <v>5</v>
      </c>
      <c r="H334" s="2">
        <f t="shared" si="11"/>
        <v>41</v>
      </c>
      <c r="I334" s="5">
        <v>45637</v>
      </c>
    </row>
    <row r="335" spans="1:9" ht="14.25" customHeight="1" x14ac:dyDescent="0.35">
      <c r="A335" s="2" t="s">
        <v>104</v>
      </c>
      <c r="B335" s="2" t="s">
        <v>22</v>
      </c>
      <c r="C335" s="2" t="s">
        <v>371</v>
      </c>
      <c r="D335" s="2">
        <v>83883</v>
      </c>
      <c r="E335" s="2">
        <v>0</v>
      </c>
      <c r="F335" s="2" t="str">
        <f t="shared" si="10"/>
        <v xml:space="preserve"> </v>
      </c>
      <c r="G335" s="2" t="s">
        <v>4</v>
      </c>
      <c r="H335" s="2">
        <f t="shared" si="11"/>
        <v>45</v>
      </c>
      <c r="I335" s="5">
        <v>45572</v>
      </c>
    </row>
    <row r="336" spans="1:9" ht="14.25" customHeight="1" x14ac:dyDescent="0.35">
      <c r="A336" s="2" t="s">
        <v>322</v>
      </c>
      <c r="B336" s="2" t="s">
        <v>10</v>
      </c>
      <c r="C336" s="2" t="s">
        <v>372</v>
      </c>
      <c r="D336" s="2">
        <v>53538</v>
      </c>
      <c r="E336" s="2">
        <v>631191</v>
      </c>
      <c r="F336" s="2">
        <f t="shared" si="10"/>
        <v>577653</v>
      </c>
      <c r="G336" s="2" t="s">
        <v>6</v>
      </c>
      <c r="H336" s="2">
        <f t="shared" si="11"/>
        <v>42</v>
      </c>
      <c r="I336" s="5">
        <v>45605</v>
      </c>
    </row>
    <row r="337" spans="1:9" ht="14.25" customHeight="1" x14ac:dyDescent="0.35">
      <c r="A337" s="2" t="s">
        <v>323</v>
      </c>
      <c r="B337" s="2" t="s">
        <v>16</v>
      </c>
      <c r="C337" s="2" t="s">
        <v>372</v>
      </c>
      <c r="D337" s="2">
        <v>176436</v>
      </c>
      <c r="E337" s="2">
        <v>372437</v>
      </c>
      <c r="F337" s="2">
        <f t="shared" si="10"/>
        <v>196001</v>
      </c>
      <c r="G337" s="2" t="s">
        <v>5</v>
      </c>
      <c r="H337" s="2">
        <f t="shared" si="11"/>
        <v>48</v>
      </c>
      <c r="I337" s="4">
        <v>45583</v>
      </c>
    </row>
    <row r="338" spans="1:9" ht="14.25" customHeight="1" x14ac:dyDescent="0.35">
      <c r="A338" s="2" t="s">
        <v>265</v>
      </c>
      <c r="B338" s="2" t="s">
        <v>24</v>
      </c>
      <c r="C338" s="2" t="s">
        <v>370</v>
      </c>
      <c r="D338" s="2">
        <v>137039</v>
      </c>
      <c r="E338" s="2">
        <v>1394653</v>
      </c>
      <c r="F338" s="2">
        <f t="shared" si="10"/>
        <v>1257614</v>
      </c>
      <c r="G338" s="2" t="s">
        <v>6</v>
      </c>
      <c r="H338" s="2">
        <f t="shared" si="11"/>
        <v>47</v>
      </c>
      <c r="I338" s="4">
        <v>45625</v>
      </c>
    </row>
    <row r="339" spans="1:9" ht="14.25" customHeight="1" x14ac:dyDescent="0.35">
      <c r="A339" s="2" t="s">
        <v>7</v>
      </c>
      <c r="B339" s="2" t="s">
        <v>8</v>
      </c>
      <c r="C339" s="2" t="s">
        <v>370</v>
      </c>
      <c r="D339" s="2">
        <v>125114</v>
      </c>
      <c r="E339" s="2">
        <v>1232047</v>
      </c>
      <c r="F339" s="2">
        <f t="shared" si="10"/>
        <v>1106933</v>
      </c>
      <c r="G339" s="2" t="s">
        <v>6</v>
      </c>
      <c r="H339" s="2">
        <f t="shared" si="11"/>
        <v>45</v>
      </c>
      <c r="I339" s="4">
        <v>45619</v>
      </c>
    </row>
    <row r="340" spans="1:9" ht="14.25" customHeight="1" x14ac:dyDescent="0.35">
      <c r="A340" s="2" t="s">
        <v>322</v>
      </c>
      <c r="B340" s="2" t="s">
        <v>10</v>
      </c>
      <c r="C340" s="2" t="s">
        <v>372</v>
      </c>
      <c r="D340" s="2">
        <v>53538</v>
      </c>
      <c r="E340" s="2">
        <v>631191</v>
      </c>
      <c r="F340" s="2">
        <f t="shared" si="10"/>
        <v>577653</v>
      </c>
      <c r="G340" s="2" t="s">
        <v>6</v>
      </c>
      <c r="H340" s="2">
        <f t="shared" si="11"/>
        <v>45</v>
      </c>
      <c r="I340" s="5">
        <v>45605</v>
      </c>
    </row>
    <row r="341" spans="1:9" ht="14.25" customHeight="1" x14ac:dyDescent="0.35">
      <c r="A341" s="2" t="s">
        <v>54</v>
      </c>
      <c r="B341" s="2" t="s">
        <v>13</v>
      </c>
      <c r="C341" s="2" t="s">
        <v>370</v>
      </c>
      <c r="D341" s="2">
        <v>63220</v>
      </c>
      <c r="E341" s="2">
        <v>1782419</v>
      </c>
      <c r="F341" s="2">
        <f t="shared" si="10"/>
        <v>1719199</v>
      </c>
      <c r="G341" s="2" t="s">
        <v>6</v>
      </c>
      <c r="H341" s="2">
        <f t="shared" si="11"/>
        <v>47</v>
      </c>
      <c r="I341" s="5">
        <v>45605</v>
      </c>
    </row>
    <row r="342" spans="1:9" ht="14.25" customHeight="1" x14ac:dyDescent="0.35">
      <c r="A342" s="2" t="s">
        <v>129</v>
      </c>
      <c r="B342" s="2" t="s">
        <v>16</v>
      </c>
      <c r="C342" s="2" t="s">
        <v>371</v>
      </c>
      <c r="D342" s="2">
        <v>83236</v>
      </c>
      <c r="E342" s="2">
        <v>1995287</v>
      </c>
      <c r="F342" s="2">
        <f t="shared" si="10"/>
        <v>1912051</v>
      </c>
      <c r="G342" s="2" t="s">
        <v>6</v>
      </c>
      <c r="H342" s="2">
        <f t="shared" si="11"/>
        <v>43</v>
      </c>
      <c r="I342" s="4">
        <v>45615</v>
      </c>
    </row>
    <row r="343" spans="1:9" ht="14.25" customHeight="1" x14ac:dyDescent="0.35">
      <c r="A343" s="2" t="s">
        <v>324</v>
      </c>
      <c r="B343" s="2" t="s">
        <v>368</v>
      </c>
      <c r="C343" s="2" t="s">
        <v>369</v>
      </c>
      <c r="D343" s="2">
        <v>22547</v>
      </c>
      <c r="E343" s="2">
        <v>1889627</v>
      </c>
      <c r="F343" s="2">
        <f t="shared" si="10"/>
        <v>1867080</v>
      </c>
      <c r="G343" s="2" t="s">
        <v>6</v>
      </c>
      <c r="H343" s="2">
        <f t="shared" si="11"/>
        <v>52</v>
      </c>
      <c r="I343" s="4">
        <v>45590</v>
      </c>
    </row>
    <row r="344" spans="1:9" ht="14.25" customHeight="1" x14ac:dyDescent="0.35">
      <c r="A344" s="2" t="s">
        <v>325</v>
      </c>
      <c r="B344" s="2" t="s">
        <v>22</v>
      </c>
      <c r="C344" s="2" t="s">
        <v>372</v>
      </c>
      <c r="D344" s="2">
        <v>127225</v>
      </c>
      <c r="E344" s="2">
        <v>1154393</v>
      </c>
      <c r="F344" s="2">
        <f t="shared" si="10"/>
        <v>1027168</v>
      </c>
      <c r="G344" s="2" t="s">
        <v>6</v>
      </c>
      <c r="H344" s="2">
        <f t="shared" si="11"/>
        <v>47</v>
      </c>
      <c r="I344" s="4">
        <v>45654</v>
      </c>
    </row>
    <row r="345" spans="1:9" ht="14.25" customHeight="1" x14ac:dyDescent="0.35">
      <c r="A345" s="2" t="s">
        <v>326</v>
      </c>
      <c r="B345" s="2" t="s">
        <v>368</v>
      </c>
      <c r="C345" s="2" t="s">
        <v>372</v>
      </c>
      <c r="D345" s="2">
        <v>159168</v>
      </c>
      <c r="E345" s="2">
        <v>980676</v>
      </c>
      <c r="F345" s="2">
        <f t="shared" si="10"/>
        <v>821508</v>
      </c>
      <c r="G345" s="2" t="s">
        <v>6</v>
      </c>
      <c r="H345" s="2">
        <f t="shared" si="11"/>
        <v>44</v>
      </c>
      <c r="I345" s="4">
        <v>45616</v>
      </c>
    </row>
    <row r="346" spans="1:9" ht="14.25" customHeight="1" x14ac:dyDescent="0.35">
      <c r="A346" s="2" t="s">
        <v>327</v>
      </c>
      <c r="B346" s="2" t="s">
        <v>24</v>
      </c>
      <c r="C346" s="2" t="s">
        <v>370</v>
      </c>
      <c r="D346" s="2">
        <v>96236</v>
      </c>
      <c r="E346" s="2">
        <v>1722830</v>
      </c>
      <c r="F346" s="2">
        <f t="shared" si="10"/>
        <v>1626594</v>
      </c>
      <c r="G346" s="2" t="s">
        <v>5</v>
      </c>
      <c r="H346" s="2">
        <f t="shared" si="11"/>
        <v>45</v>
      </c>
      <c r="I346" s="4">
        <v>45595</v>
      </c>
    </row>
    <row r="347" spans="1:9" ht="14.25" customHeight="1" x14ac:dyDescent="0.35">
      <c r="A347" s="2" t="s">
        <v>328</v>
      </c>
      <c r="B347" s="2" t="s">
        <v>20</v>
      </c>
      <c r="C347" s="2" t="s">
        <v>369</v>
      </c>
      <c r="D347" s="2">
        <v>14173</v>
      </c>
      <c r="E347" s="2">
        <v>1371478</v>
      </c>
      <c r="F347" s="2">
        <f t="shared" si="10"/>
        <v>1357305</v>
      </c>
      <c r="G347" s="2" t="s">
        <v>6</v>
      </c>
      <c r="H347" s="2">
        <f t="shared" si="11"/>
        <v>49</v>
      </c>
      <c r="I347" s="5">
        <v>45601</v>
      </c>
    </row>
    <row r="348" spans="1:9" ht="14.25" customHeight="1" x14ac:dyDescent="0.35">
      <c r="A348" s="2" t="s">
        <v>329</v>
      </c>
      <c r="B348" s="2" t="s">
        <v>366</v>
      </c>
      <c r="C348" s="2" t="s">
        <v>371</v>
      </c>
      <c r="D348" s="2">
        <v>33859</v>
      </c>
      <c r="E348" s="2">
        <v>698196</v>
      </c>
      <c r="F348" s="2">
        <f t="shared" si="10"/>
        <v>664337</v>
      </c>
      <c r="G348" s="2" t="s">
        <v>6</v>
      </c>
      <c r="H348" s="2">
        <f t="shared" si="11"/>
        <v>42</v>
      </c>
      <c r="I348" s="5">
        <v>45630</v>
      </c>
    </row>
    <row r="349" spans="1:9" ht="14.25" customHeight="1" x14ac:dyDescent="0.35">
      <c r="A349" s="2" t="s">
        <v>330</v>
      </c>
      <c r="B349" s="2" t="s">
        <v>24</v>
      </c>
      <c r="C349" s="2" t="s">
        <v>370</v>
      </c>
      <c r="D349" s="2">
        <v>72850</v>
      </c>
      <c r="E349" s="2">
        <v>1561518</v>
      </c>
      <c r="F349" s="2">
        <f t="shared" si="10"/>
        <v>1488668</v>
      </c>
      <c r="G349" s="2" t="s">
        <v>6</v>
      </c>
      <c r="H349" s="2">
        <f t="shared" si="11"/>
        <v>52</v>
      </c>
      <c r="I349" s="4">
        <v>45582</v>
      </c>
    </row>
    <row r="350" spans="1:9" ht="14.25" customHeight="1" x14ac:dyDescent="0.35">
      <c r="A350" s="2" t="s">
        <v>331</v>
      </c>
      <c r="B350" s="2" t="s">
        <v>13</v>
      </c>
      <c r="C350" s="2" t="s">
        <v>370</v>
      </c>
      <c r="D350" s="2">
        <v>110490</v>
      </c>
      <c r="E350" s="2">
        <v>1635003</v>
      </c>
      <c r="F350" s="2">
        <f t="shared" si="10"/>
        <v>1524513</v>
      </c>
      <c r="G350" s="2" t="s">
        <v>5</v>
      </c>
      <c r="H350" s="2">
        <f t="shared" si="11"/>
        <v>41</v>
      </c>
      <c r="I350" s="4">
        <v>45649</v>
      </c>
    </row>
    <row r="351" spans="1:9" ht="14.25" customHeight="1" x14ac:dyDescent="0.35">
      <c r="A351" s="2" t="s">
        <v>332</v>
      </c>
      <c r="B351" s="2" t="s">
        <v>368</v>
      </c>
      <c r="C351" s="2" t="s">
        <v>369</v>
      </c>
      <c r="D351" s="2">
        <v>20610</v>
      </c>
      <c r="E351" s="2">
        <v>1537765</v>
      </c>
      <c r="F351" s="2">
        <f t="shared" si="10"/>
        <v>1517155</v>
      </c>
      <c r="G351" s="2" t="s">
        <v>6</v>
      </c>
      <c r="H351" s="2">
        <f t="shared" si="11"/>
        <v>46</v>
      </c>
      <c r="I351" s="5">
        <v>45576</v>
      </c>
    </row>
    <row r="352" spans="1:9" ht="14.25" customHeight="1" x14ac:dyDescent="0.35">
      <c r="A352" s="2" t="s">
        <v>333</v>
      </c>
      <c r="B352" s="2" t="s">
        <v>16</v>
      </c>
      <c r="C352" s="2" t="s">
        <v>370</v>
      </c>
      <c r="D352" s="2">
        <v>129491</v>
      </c>
      <c r="E352" s="2">
        <v>0</v>
      </c>
      <c r="F352" s="2" t="str">
        <f t="shared" si="10"/>
        <v xml:space="preserve"> </v>
      </c>
      <c r="G352" s="2" t="s">
        <v>4</v>
      </c>
      <c r="H352" s="2">
        <f t="shared" si="11"/>
        <v>46</v>
      </c>
      <c r="I352" s="4">
        <v>45613</v>
      </c>
    </row>
    <row r="353" spans="1:9" ht="14.25" customHeight="1" x14ac:dyDescent="0.35">
      <c r="A353" s="2" t="s">
        <v>189</v>
      </c>
      <c r="B353" s="2" t="s">
        <v>16</v>
      </c>
      <c r="C353" s="2" t="s">
        <v>370</v>
      </c>
      <c r="D353" s="2">
        <v>136813</v>
      </c>
      <c r="E353" s="2">
        <v>223484</v>
      </c>
      <c r="F353" s="2">
        <f t="shared" si="10"/>
        <v>86671</v>
      </c>
      <c r="G353" s="2" t="s">
        <v>6</v>
      </c>
      <c r="H353" s="2">
        <f t="shared" si="11"/>
        <v>44</v>
      </c>
      <c r="I353" s="4">
        <v>45611</v>
      </c>
    </row>
    <row r="354" spans="1:9" ht="14.25" customHeight="1" x14ac:dyDescent="0.35">
      <c r="A354" s="2" t="s">
        <v>334</v>
      </c>
      <c r="B354" s="2" t="s">
        <v>10</v>
      </c>
      <c r="C354" s="2" t="s">
        <v>371</v>
      </c>
      <c r="D354" s="2">
        <v>68913</v>
      </c>
      <c r="E354" s="2">
        <v>814175</v>
      </c>
      <c r="F354" s="2">
        <f t="shared" si="10"/>
        <v>745262</v>
      </c>
      <c r="G354" s="2" t="s">
        <v>5</v>
      </c>
      <c r="H354" s="2">
        <f t="shared" si="11"/>
        <v>49</v>
      </c>
      <c r="I354" s="5">
        <v>45597</v>
      </c>
    </row>
    <row r="355" spans="1:9" ht="14.25" customHeight="1" x14ac:dyDescent="0.35">
      <c r="A355" s="2" t="s">
        <v>53</v>
      </c>
      <c r="B355" s="2" t="s">
        <v>367</v>
      </c>
      <c r="C355" s="2" t="s">
        <v>370</v>
      </c>
      <c r="D355" s="2">
        <v>124873</v>
      </c>
      <c r="E355" s="2">
        <v>1396454</v>
      </c>
      <c r="F355" s="2">
        <f t="shared" si="10"/>
        <v>1271581</v>
      </c>
      <c r="G355" s="2" t="s">
        <v>5</v>
      </c>
      <c r="H355" s="2">
        <f t="shared" si="11"/>
        <v>48</v>
      </c>
      <c r="I355" s="5">
        <v>45633</v>
      </c>
    </row>
    <row r="356" spans="1:9" ht="14.25" customHeight="1" x14ac:dyDescent="0.35">
      <c r="A356" s="2" t="s">
        <v>335</v>
      </c>
      <c r="B356" s="2" t="s">
        <v>16</v>
      </c>
      <c r="C356" s="2" t="s">
        <v>369</v>
      </c>
      <c r="D356" s="2">
        <v>9025</v>
      </c>
      <c r="E356" s="2">
        <v>1643886</v>
      </c>
      <c r="F356" s="2">
        <f t="shared" si="10"/>
        <v>1634861</v>
      </c>
      <c r="G356" s="2" t="s">
        <v>6</v>
      </c>
      <c r="H356" s="2">
        <f t="shared" si="11"/>
        <v>49</v>
      </c>
      <c r="I356" s="4">
        <v>45623</v>
      </c>
    </row>
    <row r="357" spans="1:9" ht="14.25" customHeight="1" x14ac:dyDescent="0.35">
      <c r="A357" s="2" t="s">
        <v>336</v>
      </c>
      <c r="B357" s="2" t="s">
        <v>367</v>
      </c>
      <c r="C357" s="2" t="s">
        <v>370</v>
      </c>
      <c r="D357" s="2">
        <v>125773</v>
      </c>
      <c r="E357" s="2">
        <v>456944</v>
      </c>
      <c r="F357" s="2">
        <f t="shared" si="10"/>
        <v>331171</v>
      </c>
      <c r="G357" s="2" t="s">
        <v>5</v>
      </c>
      <c r="H357" s="2">
        <f t="shared" si="11"/>
        <v>45</v>
      </c>
      <c r="I357" s="5">
        <v>45629</v>
      </c>
    </row>
    <row r="358" spans="1:9" ht="14.25" customHeight="1" x14ac:dyDescent="0.35">
      <c r="A358" s="2" t="s">
        <v>142</v>
      </c>
      <c r="B358" s="2" t="s">
        <v>24</v>
      </c>
      <c r="C358" s="2" t="s">
        <v>371</v>
      </c>
      <c r="D358" s="2">
        <v>40768</v>
      </c>
      <c r="E358" s="2">
        <v>1031882</v>
      </c>
      <c r="F358" s="2">
        <f t="shared" si="10"/>
        <v>991114</v>
      </c>
      <c r="G358" s="2" t="s">
        <v>6</v>
      </c>
      <c r="H358" s="2">
        <f t="shared" si="11"/>
        <v>44</v>
      </c>
      <c r="I358" s="5">
        <v>45601</v>
      </c>
    </row>
    <row r="359" spans="1:9" ht="14.25" customHeight="1" x14ac:dyDescent="0.35">
      <c r="A359" s="2" t="s">
        <v>337</v>
      </c>
      <c r="B359" s="2" t="s">
        <v>368</v>
      </c>
      <c r="C359" s="2" t="s">
        <v>372</v>
      </c>
      <c r="D359" s="2">
        <v>170105</v>
      </c>
      <c r="E359" s="2">
        <v>1004575</v>
      </c>
      <c r="F359" s="2">
        <f t="shared" si="10"/>
        <v>834470</v>
      </c>
      <c r="G359" s="2" t="s">
        <v>5</v>
      </c>
      <c r="H359" s="2">
        <f t="shared" si="11"/>
        <v>45</v>
      </c>
      <c r="I359" s="5">
        <v>45598</v>
      </c>
    </row>
    <row r="360" spans="1:9" ht="14.25" customHeight="1" x14ac:dyDescent="0.35">
      <c r="A360" s="2" t="s">
        <v>338</v>
      </c>
      <c r="B360" s="2" t="s">
        <v>13</v>
      </c>
      <c r="C360" s="2" t="s">
        <v>371</v>
      </c>
      <c r="D360" s="2">
        <v>83833</v>
      </c>
      <c r="E360" s="2">
        <v>0</v>
      </c>
      <c r="F360" s="2" t="str">
        <f t="shared" si="10"/>
        <v xml:space="preserve"> </v>
      </c>
      <c r="G360" s="2" t="s">
        <v>4</v>
      </c>
      <c r="H360" s="2">
        <f t="shared" si="11"/>
        <v>50</v>
      </c>
      <c r="I360" s="5">
        <v>45602</v>
      </c>
    </row>
    <row r="361" spans="1:9" ht="14.25" customHeight="1" x14ac:dyDescent="0.35">
      <c r="A361" s="2" t="s">
        <v>339</v>
      </c>
      <c r="B361" s="2" t="s">
        <v>366</v>
      </c>
      <c r="C361" s="2" t="s">
        <v>372</v>
      </c>
      <c r="D361" s="2">
        <v>80712</v>
      </c>
      <c r="E361" s="2">
        <v>1937969</v>
      </c>
      <c r="F361" s="2">
        <f t="shared" si="10"/>
        <v>1857257</v>
      </c>
      <c r="G361" s="2" t="s">
        <v>5</v>
      </c>
      <c r="H361" s="2">
        <f t="shared" si="11"/>
        <v>43</v>
      </c>
      <c r="I361" s="5">
        <v>45637</v>
      </c>
    </row>
    <row r="362" spans="1:9" ht="14.25" customHeight="1" x14ac:dyDescent="0.35">
      <c r="A362" s="2" t="s">
        <v>340</v>
      </c>
      <c r="B362" s="2" t="s">
        <v>366</v>
      </c>
      <c r="C362" s="2" t="s">
        <v>370</v>
      </c>
      <c r="D362" s="2">
        <v>40273</v>
      </c>
      <c r="E362" s="2">
        <v>1440115</v>
      </c>
      <c r="F362" s="2">
        <f t="shared" si="10"/>
        <v>1399842</v>
      </c>
      <c r="G362" s="2" t="s">
        <v>5</v>
      </c>
      <c r="H362" s="2">
        <f t="shared" si="11"/>
        <v>50</v>
      </c>
      <c r="I362" s="4">
        <v>45588</v>
      </c>
    </row>
    <row r="363" spans="1:9" ht="14.25" customHeight="1" x14ac:dyDescent="0.35">
      <c r="A363" s="2" t="s">
        <v>272</v>
      </c>
      <c r="B363" s="2" t="s">
        <v>8</v>
      </c>
      <c r="C363" s="2" t="s">
        <v>371</v>
      </c>
      <c r="D363" s="2">
        <v>77268</v>
      </c>
      <c r="E363" s="2">
        <v>895608</v>
      </c>
      <c r="F363" s="2">
        <f t="shared" si="10"/>
        <v>818340</v>
      </c>
      <c r="G363" s="2" t="s">
        <v>5</v>
      </c>
      <c r="H363" s="2">
        <f t="shared" si="11"/>
        <v>44</v>
      </c>
      <c r="I363" s="4">
        <v>45641</v>
      </c>
    </row>
    <row r="364" spans="1:9" ht="14.25" customHeight="1" x14ac:dyDescent="0.35">
      <c r="A364" s="2" t="s">
        <v>341</v>
      </c>
      <c r="B364" s="2" t="s">
        <v>24</v>
      </c>
      <c r="C364" s="2" t="s">
        <v>371</v>
      </c>
      <c r="D364" s="2">
        <v>46641</v>
      </c>
      <c r="E364" s="2">
        <v>1403574</v>
      </c>
      <c r="F364" s="2">
        <f t="shared" si="10"/>
        <v>1356933</v>
      </c>
      <c r="G364" s="2" t="s">
        <v>5</v>
      </c>
      <c r="H364" s="2">
        <f t="shared" si="11"/>
        <v>42</v>
      </c>
      <c r="I364" s="4">
        <v>45596</v>
      </c>
    </row>
    <row r="365" spans="1:9" ht="14.25" customHeight="1" x14ac:dyDescent="0.35">
      <c r="A365" s="2" t="s">
        <v>135</v>
      </c>
      <c r="B365" s="2" t="s">
        <v>10</v>
      </c>
      <c r="C365" s="2" t="s">
        <v>370</v>
      </c>
      <c r="D365" s="2">
        <v>50833</v>
      </c>
      <c r="E365" s="2">
        <v>1484034</v>
      </c>
      <c r="F365" s="2">
        <f t="shared" si="10"/>
        <v>1433201</v>
      </c>
      <c r="G365" s="2" t="s">
        <v>6</v>
      </c>
      <c r="H365" s="2">
        <f t="shared" si="11"/>
        <v>49</v>
      </c>
      <c r="I365" s="4">
        <v>45584</v>
      </c>
    </row>
    <row r="366" spans="1:9" ht="14.25" customHeight="1" x14ac:dyDescent="0.35">
      <c r="A366" s="2" t="s">
        <v>342</v>
      </c>
      <c r="B366" s="2" t="s">
        <v>8</v>
      </c>
      <c r="C366" s="2" t="s">
        <v>370</v>
      </c>
      <c r="D366" s="2">
        <v>89869</v>
      </c>
      <c r="E366" s="2">
        <v>1450346</v>
      </c>
      <c r="F366" s="2">
        <f t="shared" si="10"/>
        <v>1360477</v>
      </c>
      <c r="G366" s="2" t="s">
        <v>6</v>
      </c>
      <c r="H366" s="2">
        <f t="shared" si="11"/>
        <v>50</v>
      </c>
      <c r="I366" s="5">
        <v>45628</v>
      </c>
    </row>
    <row r="367" spans="1:9" ht="14.25" customHeight="1" x14ac:dyDescent="0.35">
      <c r="A367" s="2" t="s">
        <v>343</v>
      </c>
      <c r="B367" s="2" t="s">
        <v>13</v>
      </c>
      <c r="C367" s="2" t="s">
        <v>369</v>
      </c>
      <c r="D367" s="2">
        <v>26147</v>
      </c>
      <c r="E367" s="2">
        <v>442787</v>
      </c>
      <c r="F367" s="2">
        <f t="shared" si="10"/>
        <v>416640</v>
      </c>
      <c r="G367" s="2" t="s">
        <v>6</v>
      </c>
      <c r="H367" s="2">
        <f t="shared" si="11"/>
        <v>48</v>
      </c>
      <c r="I367" s="5">
        <v>45636</v>
      </c>
    </row>
    <row r="368" spans="1:9" ht="14.25" customHeight="1" x14ac:dyDescent="0.35">
      <c r="A368" s="2" t="s">
        <v>274</v>
      </c>
      <c r="B368" s="2" t="s">
        <v>366</v>
      </c>
      <c r="C368" s="2" t="s">
        <v>371</v>
      </c>
      <c r="D368" s="2">
        <v>99823</v>
      </c>
      <c r="E368" s="2">
        <v>1694704</v>
      </c>
      <c r="F368" s="2">
        <f t="shared" si="10"/>
        <v>1594881</v>
      </c>
      <c r="G368" s="2" t="s">
        <v>5</v>
      </c>
      <c r="H368" s="2">
        <f t="shared" si="11"/>
        <v>45</v>
      </c>
      <c r="I368" s="4">
        <v>45623</v>
      </c>
    </row>
    <row r="369" spans="1:9" ht="14.25" customHeight="1" x14ac:dyDescent="0.35">
      <c r="A369" s="2" t="s">
        <v>344</v>
      </c>
      <c r="B369" s="2" t="s">
        <v>368</v>
      </c>
      <c r="C369" s="2" t="s">
        <v>371</v>
      </c>
      <c r="D369" s="2">
        <v>23722</v>
      </c>
      <c r="E369" s="2">
        <v>1893982</v>
      </c>
      <c r="F369" s="2">
        <f t="shared" si="10"/>
        <v>1870260</v>
      </c>
      <c r="G369" s="2" t="s">
        <v>6</v>
      </c>
      <c r="H369" s="2">
        <f t="shared" si="11"/>
        <v>45</v>
      </c>
      <c r="I369" s="5">
        <v>45600</v>
      </c>
    </row>
    <row r="370" spans="1:9" ht="14.25" customHeight="1" x14ac:dyDescent="0.35">
      <c r="A370" s="2" t="s">
        <v>345</v>
      </c>
      <c r="B370" s="2" t="s">
        <v>366</v>
      </c>
      <c r="C370" s="2" t="s">
        <v>372</v>
      </c>
      <c r="D370" s="2">
        <v>94317</v>
      </c>
      <c r="E370" s="2">
        <v>0</v>
      </c>
      <c r="F370" s="2" t="str">
        <f t="shared" si="10"/>
        <v xml:space="preserve"> </v>
      </c>
      <c r="G370" s="2" t="s">
        <v>4</v>
      </c>
      <c r="H370" s="2">
        <f t="shared" si="11"/>
        <v>48</v>
      </c>
      <c r="I370" s="5">
        <v>45605</v>
      </c>
    </row>
    <row r="371" spans="1:9" ht="14.25" customHeight="1" x14ac:dyDescent="0.35">
      <c r="A371" s="2" t="s">
        <v>346</v>
      </c>
      <c r="B371" s="2" t="s">
        <v>22</v>
      </c>
      <c r="C371" s="2" t="s">
        <v>370</v>
      </c>
      <c r="D371" s="2">
        <v>55568</v>
      </c>
      <c r="E371" s="2">
        <v>0</v>
      </c>
      <c r="F371" s="2" t="str">
        <f t="shared" si="10"/>
        <v xml:space="preserve"> </v>
      </c>
      <c r="G371" s="2" t="s">
        <v>4</v>
      </c>
      <c r="H371" s="2">
        <f t="shared" si="11"/>
        <v>46</v>
      </c>
      <c r="I371" s="5">
        <v>45627</v>
      </c>
    </row>
    <row r="372" spans="1:9" ht="14.25" customHeight="1" x14ac:dyDescent="0.35">
      <c r="A372" s="2" t="s">
        <v>347</v>
      </c>
      <c r="B372" s="2" t="s">
        <v>8</v>
      </c>
      <c r="C372" s="2" t="s">
        <v>370</v>
      </c>
      <c r="D372" s="2">
        <v>98023</v>
      </c>
      <c r="E372" s="2">
        <v>0</v>
      </c>
      <c r="F372" s="2" t="str">
        <f t="shared" si="10"/>
        <v xml:space="preserve"> </v>
      </c>
      <c r="G372" s="2" t="s">
        <v>4</v>
      </c>
      <c r="H372" s="2">
        <f t="shared" si="11"/>
        <v>53</v>
      </c>
      <c r="I372" s="4">
        <v>45611</v>
      </c>
    </row>
    <row r="373" spans="1:9" ht="14.25" customHeight="1" x14ac:dyDescent="0.35">
      <c r="A373" s="2" t="s">
        <v>348</v>
      </c>
      <c r="B373" s="2" t="s">
        <v>366</v>
      </c>
      <c r="C373" s="2" t="s">
        <v>371</v>
      </c>
      <c r="D373" s="2">
        <v>70466</v>
      </c>
      <c r="E373" s="2">
        <v>1811404</v>
      </c>
      <c r="F373" s="2">
        <f t="shared" si="10"/>
        <v>1740938</v>
      </c>
      <c r="G373" s="2" t="s">
        <v>5</v>
      </c>
      <c r="H373" s="2">
        <f t="shared" si="11"/>
        <v>51</v>
      </c>
      <c r="I373" s="4">
        <v>45656</v>
      </c>
    </row>
    <row r="374" spans="1:9" ht="14.25" customHeight="1" x14ac:dyDescent="0.35">
      <c r="A374" s="2" t="s">
        <v>168</v>
      </c>
      <c r="B374" s="2" t="s">
        <v>13</v>
      </c>
      <c r="C374" s="2" t="s">
        <v>369</v>
      </c>
      <c r="D374" s="2">
        <v>8237</v>
      </c>
      <c r="E374" s="2">
        <v>75578</v>
      </c>
      <c r="F374" s="2">
        <f t="shared" si="10"/>
        <v>67341</v>
      </c>
      <c r="G374" s="2" t="s">
        <v>6</v>
      </c>
      <c r="H374" s="2">
        <f t="shared" si="11"/>
        <v>41</v>
      </c>
      <c r="I374" s="4">
        <v>45643</v>
      </c>
    </row>
    <row r="375" spans="1:9" ht="14.25" customHeight="1" x14ac:dyDescent="0.35">
      <c r="A375" s="2" t="s">
        <v>349</v>
      </c>
      <c r="B375" s="2" t="s">
        <v>8</v>
      </c>
      <c r="C375" s="2" t="s">
        <v>372</v>
      </c>
      <c r="D375" s="2">
        <v>128373</v>
      </c>
      <c r="E375" s="2">
        <v>1318425</v>
      </c>
      <c r="F375" s="2">
        <f t="shared" si="10"/>
        <v>1190052</v>
      </c>
      <c r="G375" s="2" t="s">
        <v>6</v>
      </c>
      <c r="H375" s="2">
        <f t="shared" si="11"/>
        <v>50</v>
      </c>
      <c r="I375" s="5">
        <v>45573</v>
      </c>
    </row>
    <row r="376" spans="1:9" ht="14.25" customHeight="1" x14ac:dyDescent="0.35">
      <c r="A376" s="2" t="s">
        <v>350</v>
      </c>
      <c r="B376" s="2" t="s">
        <v>20</v>
      </c>
      <c r="C376" s="2" t="s">
        <v>369</v>
      </c>
      <c r="D376" s="2">
        <v>14801</v>
      </c>
      <c r="E376" s="2">
        <v>309991</v>
      </c>
      <c r="F376" s="2">
        <f t="shared" si="10"/>
        <v>295190</v>
      </c>
      <c r="G376" s="2" t="s">
        <v>6</v>
      </c>
      <c r="H376" s="2">
        <f t="shared" si="11"/>
        <v>42</v>
      </c>
      <c r="I376" s="5">
        <v>45637</v>
      </c>
    </row>
    <row r="377" spans="1:9" ht="14.25" customHeight="1" x14ac:dyDescent="0.35">
      <c r="A377" s="2" t="s">
        <v>351</v>
      </c>
      <c r="B377" s="2" t="s">
        <v>366</v>
      </c>
      <c r="C377" s="2" t="s">
        <v>370</v>
      </c>
      <c r="D377" s="2">
        <v>88528</v>
      </c>
      <c r="E377" s="2">
        <v>469339</v>
      </c>
      <c r="F377" s="2">
        <f t="shared" si="10"/>
        <v>380811</v>
      </c>
      <c r="G377" s="2" t="s">
        <v>6</v>
      </c>
      <c r="H377" s="2">
        <f t="shared" si="11"/>
        <v>45</v>
      </c>
      <c r="I377" s="4">
        <v>45585</v>
      </c>
    </row>
    <row r="378" spans="1:9" ht="14.25" customHeight="1" x14ac:dyDescent="0.35">
      <c r="A378" s="2" t="s">
        <v>352</v>
      </c>
      <c r="B378" s="2" t="s">
        <v>8</v>
      </c>
      <c r="C378" s="2" t="s">
        <v>370</v>
      </c>
      <c r="D378" s="2">
        <v>50838</v>
      </c>
      <c r="E378" s="2">
        <v>661154</v>
      </c>
      <c r="F378" s="2">
        <f t="shared" si="10"/>
        <v>610316</v>
      </c>
      <c r="G378" s="2" t="s">
        <v>6</v>
      </c>
      <c r="H378" s="2">
        <f t="shared" si="11"/>
        <v>42</v>
      </c>
      <c r="I378" s="5">
        <v>45600</v>
      </c>
    </row>
    <row r="379" spans="1:9" ht="14.25" customHeight="1" x14ac:dyDescent="0.35">
      <c r="A379" s="2" t="s">
        <v>353</v>
      </c>
      <c r="B379" s="2" t="s">
        <v>22</v>
      </c>
      <c r="C379" s="2" t="s">
        <v>371</v>
      </c>
      <c r="D379" s="2">
        <v>48506</v>
      </c>
      <c r="E379" s="2">
        <v>279998</v>
      </c>
      <c r="F379" s="2">
        <f t="shared" si="10"/>
        <v>231492</v>
      </c>
      <c r="G379" s="2" t="s">
        <v>5</v>
      </c>
      <c r="H379" s="2">
        <f t="shared" si="11"/>
        <v>1</v>
      </c>
      <c r="I379" s="4">
        <v>45585</v>
      </c>
    </row>
    <row r="380" spans="1:9" ht="14.25" customHeight="1" x14ac:dyDescent="0.35"/>
    <row r="381" spans="1:9" ht="14.25" customHeight="1" x14ac:dyDescent="0.35"/>
    <row r="382" spans="1:9" ht="14.25" customHeight="1" x14ac:dyDescent="0.35"/>
    <row r="383" spans="1:9" ht="14.25" customHeight="1" x14ac:dyDescent="0.35"/>
    <row r="384" spans="1:9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Dataset_SS11_Bai2_Marketing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Hòa Bùi</cp:lastModifiedBy>
  <dcterms:created xsi:type="dcterms:W3CDTF">2026-01-23T03:50:56Z</dcterms:created>
  <dcterms:modified xsi:type="dcterms:W3CDTF">2026-01-27T01:21:46Z</dcterms:modified>
</cp:coreProperties>
</file>