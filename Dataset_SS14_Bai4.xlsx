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I\Downloads\"/>
    </mc:Choice>
  </mc:AlternateContent>
  <xr:revisionPtr revIDLastSave="0" documentId="13_ncr:1_{5E869B52-B785-49C9-A265-A494F4ADFFAC}" xr6:coauthVersionLast="47" xr6:coauthVersionMax="47" xr10:uidLastSave="{00000000-0000-0000-0000-000000000000}"/>
  <bookViews>
    <workbookView xWindow="-120" yWindow="-120" windowWidth="20730" windowHeight="11040" xr2:uid="{00000000-000D-0000-FFFF-FFFF00000000}"/>
  </bookViews>
  <sheets>
    <sheet name="Sheet3" sheetId="3" r:id="rId1"/>
    <sheet name="Sheet2" sheetId="2" r:id="rId2"/>
    <sheet name="Sheet1" sheetId="1" r:id="rId3"/>
  </sheets>
  <definedNames>
    <definedName name="_xlnm._FilterDatabase" localSheetId="2" hidden="1">Sheet1!$A$1:$M$301</definedName>
    <definedName name="Slicer_Cửa_Hàng">#N/A</definedName>
    <definedName name="Slicer_Khung_Giờ">#N/A</definedName>
    <definedName name="Slicer_Loai_Do">#N/A</definedName>
  </definedNames>
  <calcPr calcId="191029"/>
  <pivotCaches>
    <pivotCache cacheId="1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uri="GoogleSheetsCustomDataVersion2">
      <go:sheetsCustomData xmlns:go="http://customooxmlschemas.google.com/" r:id="rId8" roundtripDataChecksum="pI/Zcc2bx3AYS9REu0gYUUVQW/vBdtXkvTUPoc91zfU="/>
    </ext>
  </extLst>
</workbook>
</file>

<file path=xl/calcChain.xml><?xml version="1.0" encoding="utf-8"?>
<calcChain xmlns="http://schemas.openxmlformats.org/spreadsheetml/2006/main">
  <c r="L2" i="1"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I61" i="1"/>
  <c r="I77" i="1"/>
  <c r="H22" i="1"/>
  <c r="I22" i="1" s="1"/>
  <c r="H60" i="1"/>
  <c r="I60" i="1" s="1"/>
  <c r="H149" i="1"/>
  <c r="I149" i="1" s="1"/>
  <c r="H156" i="1"/>
  <c r="I156" i="1" s="1"/>
  <c r="H172" i="1"/>
  <c r="I172" i="1" s="1"/>
  <c r="H179" i="1"/>
  <c r="I179" i="1" s="1"/>
  <c r="H184" i="1"/>
  <c r="I184" i="1" s="1"/>
  <c r="H199" i="1"/>
  <c r="I199" i="1" s="1"/>
  <c r="H206" i="1"/>
  <c r="I206" i="1" s="1"/>
  <c r="H219" i="1"/>
  <c r="I219" i="1" s="1"/>
  <c r="H225" i="1"/>
  <c r="I225" i="1" s="1"/>
  <c r="H227" i="1"/>
  <c r="I227" i="1" s="1"/>
  <c r="H249" i="1"/>
  <c r="I249" i="1" s="1"/>
  <c r="H250" i="1"/>
  <c r="I250" i="1" s="1"/>
  <c r="H254" i="1"/>
  <c r="I254" i="1" s="1"/>
  <c r="H264" i="1"/>
  <c r="I264" i="1" s="1"/>
  <c r="H267" i="1"/>
  <c r="I267" i="1" s="1"/>
  <c r="H272" i="1"/>
  <c r="I272" i="1" s="1"/>
  <c r="H280" i="1"/>
  <c r="I280" i="1" s="1"/>
  <c r="H291" i="1"/>
  <c r="I291" i="1" s="1"/>
  <c r="H2" i="1"/>
  <c r="I2" i="1" s="1"/>
  <c r="H3" i="1"/>
  <c r="I3" i="1" s="1"/>
  <c r="H4" i="1"/>
  <c r="I4" i="1" s="1"/>
  <c r="H5" i="1"/>
  <c r="I5" i="1" s="1"/>
  <c r="H6" i="1"/>
  <c r="I6" i="1" s="1"/>
  <c r="H7" i="1"/>
  <c r="I7" i="1" s="1"/>
  <c r="H8" i="1"/>
  <c r="I8" i="1" s="1"/>
  <c r="H9" i="1"/>
  <c r="I9" i="1" s="1"/>
  <c r="H10" i="1"/>
  <c r="I10" i="1" s="1"/>
  <c r="H11" i="1"/>
  <c r="I11" i="1" s="1"/>
  <c r="H12" i="1"/>
  <c r="I12" i="1" s="1"/>
  <c r="H13" i="1"/>
  <c r="I13" i="1" s="1"/>
  <c r="H14" i="1"/>
  <c r="I14" i="1" s="1"/>
  <c r="H15" i="1"/>
  <c r="I15" i="1" s="1"/>
  <c r="H16" i="1"/>
  <c r="I16" i="1" s="1"/>
  <c r="H17" i="1"/>
  <c r="I17" i="1" s="1"/>
  <c r="H18" i="1"/>
  <c r="I18" i="1" s="1"/>
  <c r="H19" i="1"/>
  <c r="I19" i="1" s="1"/>
  <c r="H20" i="1"/>
  <c r="I20" i="1" s="1"/>
  <c r="H21" i="1"/>
  <c r="I21" i="1" s="1"/>
  <c r="H23" i="1"/>
  <c r="I23" i="1" s="1"/>
  <c r="H24" i="1"/>
  <c r="I24" i="1" s="1"/>
  <c r="H25" i="1"/>
  <c r="I25" i="1" s="1"/>
  <c r="H26" i="1"/>
  <c r="I26" i="1" s="1"/>
  <c r="H27" i="1"/>
  <c r="I27" i="1" s="1"/>
  <c r="H28" i="1"/>
  <c r="I28" i="1" s="1"/>
  <c r="H29" i="1"/>
  <c r="I29" i="1" s="1"/>
  <c r="H30" i="1"/>
  <c r="I30" i="1" s="1"/>
  <c r="H31" i="1"/>
  <c r="I31" i="1" s="1"/>
  <c r="H32" i="1"/>
  <c r="I32" i="1" s="1"/>
  <c r="H33" i="1"/>
  <c r="I33" i="1" s="1"/>
  <c r="H34" i="1"/>
  <c r="I34" i="1" s="1"/>
  <c r="H35" i="1"/>
  <c r="I35" i="1" s="1"/>
  <c r="H36" i="1"/>
  <c r="I36" i="1" s="1"/>
  <c r="H37" i="1"/>
  <c r="I37" i="1" s="1"/>
  <c r="H38" i="1"/>
  <c r="I38" i="1" s="1"/>
  <c r="H39" i="1"/>
  <c r="I39" i="1" s="1"/>
  <c r="H40" i="1"/>
  <c r="I40" i="1" s="1"/>
  <c r="H41" i="1"/>
  <c r="I41" i="1" s="1"/>
  <c r="H42" i="1"/>
  <c r="I42" i="1" s="1"/>
  <c r="H43" i="1"/>
  <c r="I43" i="1" s="1"/>
  <c r="H44" i="1"/>
  <c r="I44" i="1" s="1"/>
  <c r="H45" i="1"/>
  <c r="I45" i="1" s="1"/>
  <c r="H46" i="1"/>
  <c r="I46" i="1" s="1"/>
  <c r="H47" i="1"/>
  <c r="I47" i="1" s="1"/>
  <c r="H48" i="1"/>
  <c r="I48" i="1" s="1"/>
  <c r="H49" i="1"/>
  <c r="I49" i="1" s="1"/>
  <c r="H50" i="1"/>
  <c r="I50" i="1" s="1"/>
  <c r="H51" i="1"/>
  <c r="I51" i="1" s="1"/>
  <c r="H52" i="1"/>
  <c r="I52" i="1" s="1"/>
  <c r="H53" i="1"/>
  <c r="I53" i="1" s="1"/>
  <c r="H54" i="1"/>
  <c r="I54" i="1" s="1"/>
  <c r="H55" i="1"/>
  <c r="I55" i="1" s="1"/>
  <c r="H56" i="1"/>
  <c r="I56" i="1" s="1"/>
  <c r="H57" i="1"/>
  <c r="I57" i="1" s="1"/>
  <c r="H58" i="1"/>
  <c r="I58" i="1" s="1"/>
  <c r="H59" i="1"/>
  <c r="I59" i="1" s="1"/>
  <c r="H61" i="1"/>
  <c r="H62" i="1"/>
  <c r="I62" i="1" s="1"/>
  <c r="H63" i="1"/>
  <c r="I63" i="1" s="1"/>
  <c r="H64" i="1"/>
  <c r="I64" i="1" s="1"/>
  <c r="H65" i="1"/>
  <c r="I65" i="1" s="1"/>
  <c r="H66" i="1"/>
  <c r="I66" i="1" s="1"/>
  <c r="H67" i="1"/>
  <c r="I67" i="1" s="1"/>
  <c r="H68" i="1"/>
  <c r="I68" i="1" s="1"/>
  <c r="H69" i="1"/>
  <c r="I69" i="1" s="1"/>
  <c r="H70" i="1"/>
  <c r="I70" i="1" s="1"/>
  <c r="H71" i="1"/>
  <c r="I71" i="1" s="1"/>
  <c r="H72" i="1"/>
  <c r="I72" i="1" s="1"/>
  <c r="H73" i="1"/>
  <c r="I73" i="1" s="1"/>
  <c r="H74" i="1"/>
  <c r="I74" i="1" s="1"/>
  <c r="H75" i="1"/>
  <c r="I75" i="1" s="1"/>
  <c r="H76" i="1"/>
  <c r="I76" i="1" s="1"/>
  <c r="H77" i="1"/>
  <c r="H78" i="1"/>
  <c r="I78" i="1" s="1"/>
  <c r="H79" i="1"/>
  <c r="I79" i="1" s="1"/>
  <c r="H80" i="1"/>
  <c r="I80" i="1" s="1"/>
  <c r="H81" i="1"/>
  <c r="I81" i="1" s="1"/>
  <c r="H82" i="1"/>
  <c r="I82" i="1" s="1"/>
  <c r="H83" i="1"/>
  <c r="I83" i="1" s="1"/>
  <c r="H84" i="1"/>
  <c r="I84" i="1" s="1"/>
  <c r="H85" i="1"/>
  <c r="I85" i="1" s="1"/>
  <c r="H86" i="1"/>
  <c r="I86" i="1" s="1"/>
  <c r="H87" i="1"/>
  <c r="I87" i="1" s="1"/>
  <c r="H88" i="1"/>
  <c r="I88" i="1" s="1"/>
  <c r="H89" i="1"/>
  <c r="I89" i="1" s="1"/>
  <c r="H90" i="1"/>
  <c r="I90" i="1" s="1"/>
  <c r="H91" i="1"/>
  <c r="I91" i="1" s="1"/>
  <c r="H92" i="1"/>
  <c r="I92" i="1" s="1"/>
  <c r="H93" i="1"/>
  <c r="I93" i="1" s="1"/>
  <c r="H94" i="1"/>
  <c r="I94" i="1" s="1"/>
  <c r="H95" i="1"/>
  <c r="I95" i="1" s="1"/>
  <c r="H96" i="1"/>
  <c r="I96" i="1" s="1"/>
  <c r="H97" i="1"/>
  <c r="I97" i="1" s="1"/>
  <c r="H98" i="1"/>
  <c r="I98" i="1" s="1"/>
  <c r="H99" i="1"/>
  <c r="I99" i="1" s="1"/>
  <c r="H100" i="1"/>
  <c r="I100" i="1" s="1"/>
  <c r="H101" i="1"/>
  <c r="I101" i="1" s="1"/>
  <c r="H102" i="1"/>
  <c r="I102" i="1" s="1"/>
  <c r="H103" i="1"/>
  <c r="I103" i="1" s="1"/>
  <c r="H104" i="1"/>
  <c r="I104" i="1" s="1"/>
  <c r="H105" i="1"/>
  <c r="I105" i="1" s="1"/>
  <c r="H106" i="1"/>
  <c r="I106" i="1" s="1"/>
  <c r="H107" i="1"/>
  <c r="I107" i="1" s="1"/>
  <c r="H108" i="1"/>
  <c r="I108" i="1" s="1"/>
  <c r="H109" i="1"/>
  <c r="I109" i="1" s="1"/>
  <c r="H110" i="1"/>
  <c r="I110" i="1" s="1"/>
  <c r="H111" i="1"/>
  <c r="I111" i="1" s="1"/>
  <c r="H112" i="1"/>
  <c r="I112" i="1" s="1"/>
  <c r="H113" i="1"/>
  <c r="I113" i="1" s="1"/>
  <c r="H114" i="1"/>
  <c r="I114" i="1" s="1"/>
  <c r="H115" i="1"/>
  <c r="I115" i="1" s="1"/>
  <c r="H116" i="1"/>
  <c r="I116" i="1" s="1"/>
  <c r="H117" i="1"/>
  <c r="I117" i="1" s="1"/>
  <c r="H118" i="1"/>
  <c r="I118" i="1" s="1"/>
  <c r="H119" i="1"/>
  <c r="I119" i="1" s="1"/>
  <c r="H120" i="1"/>
  <c r="I120" i="1" s="1"/>
  <c r="H121" i="1"/>
  <c r="I121" i="1" s="1"/>
  <c r="H122" i="1"/>
  <c r="I122" i="1" s="1"/>
  <c r="H123" i="1"/>
  <c r="I123" i="1" s="1"/>
  <c r="H124" i="1"/>
  <c r="I124" i="1" s="1"/>
  <c r="H125" i="1"/>
  <c r="I125" i="1" s="1"/>
  <c r="H126" i="1"/>
  <c r="I126" i="1" s="1"/>
  <c r="H127" i="1"/>
  <c r="I127" i="1" s="1"/>
  <c r="H128" i="1"/>
  <c r="I128" i="1" s="1"/>
  <c r="H129" i="1"/>
  <c r="I129" i="1" s="1"/>
  <c r="H130" i="1"/>
  <c r="I130" i="1" s="1"/>
  <c r="H131" i="1"/>
  <c r="I131" i="1" s="1"/>
  <c r="H132" i="1"/>
  <c r="I132" i="1" s="1"/>
  <c r="H133" i="1"/>
  <c r="I133" i="1" s="1"/>
  <c r="H134" i="1"/>
  <c r="I134" i="1" s="1"/>
  <c r="H135" i="1"/>
  <c r="I135" i="1" s="1"/>
  <c r="H136" i="1"/>
  <c r="I136" i="1" s="1"/>
  <c r="H137" i="1"/>
  <c r="I137" i="1" s="1"/>
  <c r="H138" i="1"/>
  <c r="I138" i="1" s="1"/>
  <c r="H139" i="1"/>
  <c r="I139" i="1" s="1"/>
  <c r="H140" i="1"/>
  <c r="I140" i="1" s="1"/>
  <c r="H141" i="1"/>
  <c r="I141" i="1" s="1"/>
  <c r="H142" i="1"/>
  <c r="I142" i="1" s="1"/>
  <c r="H143" i="1"/>
  <c r="I143" i="1" s="1"/>
  <c r="H144" i="1"/>
  <c r="I144" i="1" s="1"/>
  <c r="H145" i="1"/>
  <c r="I145" i="1" s="1"/>
  <c r="H146" i="1"/>
  <c r="I146" i="1" s="1"/>
  <c r="H147" i="1"/>
  <c r="I147" i="1" s="1"/>
  <c r="H148" i="1"/>
  <c r="I148" i="1" s="1"/>
  <c r="H150" i="1"/>
  <c r="I150" i="1" s="1"/>
  <c r="H151" i="1"/>
  <c r="I151" i="1" s="1"/>
  <c r="H152" i="1"/>
  <c r="I152" i="1" s="1"/>
  <c r="H153" i="1"/>
  <c r="I153" i="1" s="1"/>
  <c r="H154" i="1"/>
  <c r="I154" i="1" s="1"/>
  <c r="H155" i="1"/>
  <c r="I155" i="1" s="1"/>
  <c r="H157" i="1"/>
  <c r="I157" i="1" s="1"/>
  <c r="H158" i="1"/>
  <c r="I158" i="1" s="1"/>
  <c r="H159" i="1"/>
  <c r="I159" i="1" s="1"/>
  <c r="H160" i="1"/>
  <c r="I160" i="1" s="1"/>
  <c r="H161" i="1"/>
  <c r="I161" i="1" s="1"/>
  <c r="H162" i="1"/>
  <c r="I162" i="1" s="1"/>
  <c r="H163" i="1"/>
  <c r="I163" i="1" s="1"/>
  <c r="H164" i="1"/>
  <c r="I164" i="1" s="1"/>
  <c r="H165" i="1"/>
  <c r="I165" i="1" s="1"/>
  <c r="H166" i="1"/>
  <c r="I166" i="1" s="1"/>
  <c r="H167" i="1"/>
  <c r="I167" i="1" s="1"/>
  <c r="H168" i="1"/>
  <c r="I168" i="1" s="1"/>
  <c r="H169" i="1"/>
  <c r="I169" i="1" s="1"/>
  <c r="H170" i="1"/>
  <c r="I170" i="1" s="1"/>
  <c r="H171" i="1"/>
  <c r="I171" i="1" s="1"/>
  <c r="H173" i="1"/>
  <c r="I173" i="1" s="1"/>
  <c r="H174" i="1"/>
  <c r="I174" i="1" s="1"/>
  <c r="H175" i="1"/>
  <c r="I175" i="1" s="1"/>
  <c r="H176" i="1"/>
  <c r="I176" i="1" s="1"/>
  <c r="H177" i="1"/>
  <c r="I177" i="1" s="1"/>
  <c r="H178" i="1"/>
  <c r="I178" i="1" s="1"/>
  <c r="H180" i="1"/>
  <c r="I180" i="1" s="1"/>
  <c r="H181" i="1"/>
  <c r="I181" i="1" s="1"/>
  <c r="H182" i="1"/>
  <c r="I182" i="1" s="1"/>
  <c r="H183" i="1"/>
  <c r="I183" i="1" s="1"/>
  <c r="H185" i="1"/>
  <c r="I185" i="1" s="1"/>
  <c r="H186" i="1"/>
  <c r="I186" i="1" s="1"/>
  <c r="H187" i="1"/>
  <c r="I187" i="1" s="1"/>
  <c r="H188" i="1"/>
  <c r="I188" i="1" s="1"/>
  <c r="H189" i="1"/>
  <c r="I189" i="1" s="1"/>
  <c r="H190" i="1"/>
  <c r="I190" i="1" s="1"/>
  <c r="H191" i="1"/>
  <c r="I191" i="1" s="1"/>
  <c r="H192" i="1"/>
  <c r="I192" i="1" s="1"/>
  <c r="H193" i="1"/>
  <c r="I193" i="1" s="1"/>
  <c r="H194" i="1"/>
  <c r="I194" i="1" s="1"/>
  <c r="H195" i="1"/>
  <c r="I195" i="1" s="1"/>
  <c r="H196" i="1"/>
  <c r="I196" i="1" s="1"/>
  <c r="H197" i="1"/>
  <c r="I197" i="1" s="1"/>
  <c r="H198" i="1"/>
  <c r="I198" i="1" s="1"/>
  <c r="H200" i="1"/>
  <c r="I200" i="1" s="1"/>
  <c r="H201" i="1"/>
  <c r="I201" i="1" s="1"/>
  <c r="H202" i="1"/>
  <c r="I202" i="1" s="1"/>
  <c r="H203" i="1"/>
  <c r="I203" i="1" s="1"/>
  <c r="H204" i="1"/>
  <c r="I204" i="1" s="1"/>
  <c r="H205" i="1"/>
  <c r="I205" i="1" s="1"/>
  <c r="H207" i="1"/>
  <c r="I207" i="1" s="1"/>
  <c r="H208" i="1"/>
  <c r="I208" i="1" s="1"/>
  <c r="H209" i="1"/>
  <c r="I209" i="1" s="1"/>
  <c r="H210" i="1"/>
  <c r="I210" i="1" s="1"/>
  <c r="H211" i="1"/>
  <c r="I211" i="1" s="1"/>
  <c r="H212" i="1"/>
  <c r="I212" i="1" s="1"/>
  <c r="H213" i="1"/>
  <c r="I213" i="1" s="1"/>
  <c r="H214" i="1"/>
  <c r="I214" i="1" s="1"/>
  <c r="H215" i="1"/>
  <c r="I215" i="1" s="1"/>
  <c r="H216" i="1"/>
  <c r="I216" i="1" s="1"/>
  <c r="H217" i="1"/>
  <c r="I217" i="1" s="1"/>
  <c r="H218" i="1"/>
  <c r="I218" i="1" s="1"/>
  <c r="H220" i="1"/>
  <c r="I220" i="1" s="1"/>
  <c r="H221" i="1"/>
  <c r="I221" i="1" s="1"/>
  <c r="H222" i="1"/>
  <c r="I222" i="1" s="1"/>
  <c r="H223" i="1"/>
  <c r="I223" i="1" s="1"/>
  <c r="H224" i="1"/>
  <c r="I224" i="1" s="1"/>
  <c r="H226" i="1"/>
  <c r="I226" i="1" s="1"/>
  <c r="H228" i="1"/>
  <c r="I228" i="1" s="1"/>
  <c r="H229" i="1"/>
  <c r="I229" i="1" s="1"/>
  <c r="H230" i="1"/>
  <c r="I230" i="1" s="1"/>
  <c r="H231" i="1"/>
  <c r="I231" i="1" s="1"/>
  <c r="H232" i="1"/>
  <c r="I232" i="1" s="1"/>
  <c r="H233" i="1"/>
  <c r="I233" i="1" s="1"/>
  <c r="H234" i="1"/>
  <c r="I234" i="1" s="1"/>
  <c r="H235" i="1"/>
  <c r="I235" i="1" s="1"/>
  <c r="H236" i="1"/>
  <c r="I236" i="1" s="1"/>
  <c r="H237" i="1"/>
  <c r="I237" i="1" s="1"/>
  <c r="H238" i="1"/>
  <c r="I238" i="1" s="1"/>
  <c r="H239" i="1"/>
  <c r="I239" i="1" s="1"/>
  <c r="H240" i="1"/>
  <c r="I240" i="1" s="1"/>
  <c r="H241" i="1"/>
  <c r="I241" i="1" s="1"/>
  <c r="H242" i="1"/>
  <c r="I242" i="1" s="1"/>
  <c r="H243" i="1"/>
  <c r="I243" i="1" s="1"/>
  <c r="H244" i="1"/>
  <c r="I244" i="1" s="1"/>
  <c r="H245" i="1"/>
  <c r="I245" i="1" s="1"/>
  <c r="H246" i="1"/>
  <c r="I246" i="1" s="1"/>
  <c r="H247" i="1"/>
  <c r="I247" i="1" s="1"/>
  <c r="H248" i="1"/>
  <c r="I248" i="1" s="1"/>
  <c r="H251" i="1"/>
  <c r="I251" i="1" s="1"/>
  <c r="H252" i="1"/>
  <c r="I252" i="1" s="1"/>
  <c r="H253" i="1"/>
  <c r="I253" i="1" s="1"/>
  <c r="H255" i="1"/>
  <c r="I255" i="1" s="1"/>
  <c r="H256" i="1"/>
  <c r="I256" i="1" s="1"/>
  <c r="H257" i="1"/>
  <c r="I257" i="1" s="1"/>
  <c r="H258" i="1"/>
  <c r="I258" i="1" s="1"/>
  <c r="H259" i="1"/>
  <c r="I259" i="1" s="1"/>
  <c r="H260" i="1"/>
  <c r="I260" i="1" s="1"/>
  <c r="H261" i="1"/>
  <c r="I261" i="1" s="1"/>
  <c r="H262" i="1"/>
  <c r="I262" i="1" s="1"/>
  <c r="H263" i="1"/>
  <c r="I263" i="1" s="1"/>
  <c r="H265" i="1"/>
  <c r="I265" i="1" s="1"/>
  <c r="H266" i="1"/>
  <c r="I266" i="1" s="1"/>
  <c r="H268" i="1"/>
  <c r="I268" i="1" s="1"/>
  <c r="H269" i="1"/>
  <c r="I269" i="1" s="1"/>
  <c r="H270" i="1"/>
  <c r="I270" i="1" s="1"/>
  <c r="H271" i="1"/>
  <c r="I271" i="1" s="1"/>
  <c r="H273" i="1"/>
  <c r="I273" i="1" s="1"/>
  <c r="H274" i="1"/>
  <c r="I274" i="1" s="1"/>
  <c r="H275" i="1"/>
  <c r="I275" i="1" s="1"/>
  <c r="H276" i="1"/>
  <c r="I276" i="1" s="1"/>
  <c r="H277" i="1"/>
  <c r="I277" i="1" s="1"/>
  <c r="H278" i="1"/>
  <c r="I278" i="1" s="1"/>
  <c r="H279" i="1"/>
  <c r="I279" i="1" s="1"/>
  <c r="H281" i="1"/>
  <c r="I281" i="1" s="1"/>
  <c r="H282" i="1"/>
  <c r="I282" i="1" s="1"/>
  <c r="H283" i="1"/>
  <c r="I283" i="1" s="1"/>
  <c r="H284" i="1"/>
  <c r="I284" i="1" s="1"/>
  <c r="H285" i="1"/>
  <c r="I285" i="1" s="1"/>
  <c r="H286" i="1"/>
  <c r="I286" i="1" s="1"/>
  <c r="H287" i="1"/>
  <c r="I287" i="1" s="1"/>
  <c r="H288" i="1"/>
  <c r="I288" i="1" s="1"/>
  <c r="H289" i="1"/>
  <c r="I289" i="1" s="1"/>
  <c r="H290" i="1"/>
  <c r="I290" i="1" s="1"/>
  <c r="H292" i="1"/>
  <c r="I292" i="1" s="1"/>
  <c r="H293" i="1"/>
  <c r="I293" i="1" s="1"/>
  <c r="H294" i="1"/>
  <c r="I294" i="1" s="1"/>
  <c r="H295" i="1"/>
  <c r="I295" i="1" s="1"/>
  <c r="H296" i="1"/>
  <c r="I296" i="1" s="1"/>
  <c r="H297" i="1"/>
  <c r="I297" i="1" s="1"/>
  <c r="H298" i="1"/>
  <c r="I298" i="1" s="1"/>
  <c r="H299" i="1"/>
  <c r="I299" i="1" s="1"/>
  <c r="H300" i="1"/>
  <c r="I300" i="1" s="1"/>
  <c r="H301" i="1"/>
  <c r="I301" i="1" s="1"/>
</calcChain>
</file>

<file path=xl/sharedStrings.xml><?xml version="1.0" encoding="utf-8"?>
<sst xmlns="http://schemas.openxmlformats.org/spreadsheetml/2006/main" count="2153" uniqueCount="739">
  <si>
    <t>Ten_SP</t>
  </si>
  <si>
    <t>Loai_Do</t>
  </si>
  <si>
    <t>Don_Gia</t>
  </si>
  <si>
    <t>So_Luong</t>
  </si>
  <si>
    <t>Ngay_Ban</t>
  </si>
  <si>
    <t>Thoi_Gian</t>
  </si>
  <si>
    <t>Cold Brew</t>
  </si>
  <si>
    <t>54818</t>
  </si>
  <si>
    <t>11:58</t>
  </si>
  <si>
    <t>Sinh to dau</t>
  </si>
  <si>
    <t>Smoothie</t>
  </si>
  <si>
    <t>49k</t>
  </si>
  <si>
    <t>14:43</t>
  </si>
  <si>
    <t>Banh mi</t>
  </si>
  <si>
    <t>Do an</t>
  </si>
  <si>
    <t>33k</t>
  </si>
  <si>
    <t>11:42</t>
  </si>
  <si>
    <t>Nuoc ep cam</t>
  </si>
  <si>
    <t>Nuoc ep</t>
  </si>
  <si>
    <t>40931</t>
  </si>
  <si>
    <t>20:45</t>
  </si>
  <si>
    <t>Tra dao</t>
  </si>
  <si>
    <t>Tra</t>
  </si>
  <si>
    <t>41k</t>
  </si>
  <si>
    <t>18:45</t>
  </si>
  <si>
    <t>Nuoc ep tao</t>
  </si>
  <si>
    <t>39258</t>
  </si>
  <si>
    <t>18:51</t>
  </si>
  <si>
    <t>Espresso</t>
  </si>
  <si>
    <t>Ca phe</t>
  </si>
  <si>
    <t>35k</t>
  </si>
  <si>
    <t>08:32</t>
  </si>
  <si>
    <t>55762</t>
  </si>
  <si>
    <t>08:37</t>
  </si>
  <si>
    <t>Banh</t>
  </si>
  <si>
    <t>35.000đ</t>
  </si>
  <si>
    <t>14:13</t>
  </si>
  <si>
    <t>Americano</t>
  </si>
  <si>
    <t>39.000đ</t>
  </si>
  <si>
    <t>19:27</t>
  </si>
  <si>
    <t>36.000</t>
  </si>
  <si>
    <t>11:45</t>
  </si>
  <si>
    <t>Sandwich</t>
  </si>
  <si>
    <t>50k</t>
  </si>
  <si>
    <t>14:33</t>
  </si>
  <si>
    <t>Ca phe sua da</t>
  </si>
  <si>
    <t>28.000đ</t>
  </si>
  <si>
    <t>07:37</t>
  </si>
  <si>
    <t>33.000</t>
  </si>
  <si>
    <t>13:43</t>
  </si>
  <si>
    <t>Tra sua tran chau</t>
  </si>
  <si>
    <t>43798</t>
  </si>
  <si>
    <t>15:58</t>
  </si>
  <si>
    <t>Sinh to xoai</t>
  </si>
  <si>
    <t>44.000</t>
  </si>
  <si>
    <t>07:50</t>
  </si>
  <si>
    <t>Bac xiu</t>
  </si>
  <si>
    <t>15:38</t>
  </si>
  <si>
    <t>Matcha Latte</t>
  </si>
  <si>
    <t>54.000</t>
  </si>
  <si>
    <t>08:59</t>
  </si>
  <si>
    <t>Sinh to bo</t>
  </si>
  <si>
    <t>50.000</t>
  </si>
  <si>
    <t>11:18</t>
  </si>
  <si>
    <t>Latte</t>
  </si>
  <si>
    <t>52.000đ</t>
  </si>
  <si>
    <t>13:06</t>
  </si>
  <si>
    <t>54k</t>
  </si>
  <si>
    <t>14:41</t>
  </si>
  <si>
    <t>Tra vai</t>
  </si>
  <si>
    <t>09:23</t>
  </si>
  <si>
    <t>Croissant</t>
  </si>
  <si>
    <t>41839</t>
  </si>
  <si>
    <t>10:46</t>
  </si>
  <si>
    <t>41810</t>
  </si>
  <si>
    <t>10:16</t>
  </si>
  <si>
    <t>Sinh to</t>
  </si>
  <si>
    <t>44845</t>
  </si>
  <si>
    <t>08:06</t>
  </si>
  <si>
    <t>Mocha</t>
  </si>
  <si>
    <t>57.000đ</t>
  </si>
  <si>
    <t>19:16</t>
  </si>
  <si>
    <t>41787</t>
  </si>
  <si>
    <t>41.000đ</t>
  </si>
  <si>
    <t>13:34</t>
  </si>
  <si>
    <t>28.000</t>
  </si>
  <si>
    <t>10:25</t>
  </si>
  <si>
    <t>Food</t>
  </si>
  <si>
    <t>40k</t>
  </si>
  <si>
    <t>11:21</t>
  </si>
  <si>
    <t>47.000đ</t>
  </si>
  <si>
    <t>17:09</t>
  </si>
  <si>
    <t>07:49</t>
  </si>
  <si>
    <t>19:51</t>
  </si>
  <si>
    <t>38.000</t>
  </si>
  <si>
    <t>12:33</t>
  </si>
  <si>
    <t>39386</t>
  </si>
  <si>
    <t>14:23</t>
  </si>
  <si>
    <t>52.000</t>
  </si>
  <si>
    <t>07:17</t>
  </si>
  <si>
    <t>35.000</t>
  </si>
  <si>
    <t>15:23</t>
  </si>
  <si>
    <t>28k</t>
  </si>
  <si>
    <t>17:15</t>
  </si>
  <si>
    <t>29997</t>
  </si>
  <si>
    <t>12:21</t>
  </si>
  <si>
    <t>45.000</t>
  </si>
  <si>
    <t>09:25</t>
  </si>
  <si>
    <t>30k</t>
  </si>
  <si>
    <t>11:47</t>
  </si>
  <si>
    <t>54.000đ</t>
  </si>
  <si>
    <t>09:40</t>
  </si>
  <si>
    <t>Juice</t>
  </si>
  <si>
    <t>39k</t>
  </si>
  <si>
    <t>08:47</t>
  </si>
  <si>
    <t>Cappuccino</t>
  </si>
  <si>
    <t>19:43</t>
  </si>
  <si>
    <t>09:29</t>
  </si>
  <si>
    <t>40.000</t>
  </si>
  <si>
    <t>14:24</t>
  </si>
  <si>
    <t>54349</t>
  </si>
  <si>
    <t>09:26</t>
  </si>
  <si>
    <t>30.000</t>
  </si>
  <si>
    <t>08:48</t>
  </si>
  <si>
    <t>Tra chanh</t>
  </si>
  <si>
    <t>10:51</t>
  </si>
  <si>
    <t>50151</t>
  </si>
  <si>
    <t>17:58</t>
  </si>
  <si>
    <t>40.000đ</t>
  </si>
  <si>
    <t>13:22</t>
  </si>
  <si>
    <t>38884</t>
  </si>
  <si>
    <t>12:30</t>
  </si>
  <si>
    <t>46.000đ</t>
  </si>
  <si>
    <t>16:35</t>
  </si>
  <si>
    <t>29459</t>
  </si>
  <si>
    <t>12:50</t>
  </si>
  <si>
    <t>48609</t>
  </si>
  <si>
    <t>08:20</t>
  </si>
  <si>
    <t>38k</t>
  </si>
  <si>
    <t>08:58</t>
  </si>
  <si>
    <t>41.000</t>
  </si>
  <si>
    <t>12:20</t>
  </si>
  <si>
    <t>38617</t>
  </si>
  <si>
    <t>16:02</t>
  </si>
  <si>
    <t>33.000đ</t>
  </si>
  <si>
    <t>15:47</t>
  </si>
  <si>
    <t>16:34</t>
  </si>
  <si>
    <t>49.000đ</t>
  </si>
  <si>
    <t>10:19</t>
  </si>
  <si>
    <t>48.000</t>
  </si>
  <si>
    <t>18:49</t>
  </si>
  <si>
    <t>39962</t>
  </si>
  <si>
    <t>10:52</t>
  </si>
  <si>
    <t>29k</t>
  </si>
  <si>
    <t>10:10</t>
  </si>
  <si>
    <t>08:02</t>
  </si>
  <si>
    <t>31469</t>
  </si>
  <si>
    <t>14:50</t>
  </si>
  <si>
    <t>13:24</t>
  </si>
  <si>
    <t>34218</t>
  </si>
  <si>
    <t>13:39</t>
  </si>
  <si>
    <t>44k</t>
  </si>
  <si>
    <t>19:29</t>
  </si>
  <si>
    <t>39715</t>
  </si>
  <si>
    <t>08:23</t>
  </si>
  <si>
    <t>16:36</t>
  </si>
  <si>
    <t>10:04</t>
  </si>
  <si>
    <t>56.000đ</t>
  </si>
  <si>
    <t>13:17</t>
  </si>
  <si>
    <t>33321</t>
  </si>
  <si>
    <t>15:17</t>
  </si>
  <si>
    <t>49.000</t>
  </si>
  <si>
    <t>19:21</t>
  </si>
  <si>
    <t>40433</t>
  </si>
  <si>
    <t>16:04</t>
  </si>
  <si>
    <t>19:00</t>
  </si>
  <si>
    <t>34.000đ</t>
  </si>
  <si>
    <t>12:14</t>
  </si>
  <si>
    <t>19:48</t>
  </si>
  <si>
    <t>12:46</t>
  </si>
  <si>
    <t>57.000</t>
  </si>
  <si>
    <t>51k</t>
  </si>
  <si>
    <t>11:13</t>
  </si>
  <si>
    <t>44836</t>
  </si>
  <si>
    <t>14:14</t>
  </si>
  <si>
    <t>15:44</t>
  </si>
  <si>
    <t>43.000</t>
  </si>
  <si>
    <t>07:59</t>
  </si>
  <si>
    <t>09:00</t>
  </si>
  <si>
    <t>12:04</t>
  </si>
  <si>
    <t>49840</t>
  </si>
  <si>
    <t>07:01</t>
  </si>
  <si>
    <t>34k</t>
  </si>
  <si>
    <t>11:28</t>
  </si>
  <si>
    <t>29774</t>
  </si>
  <si>
    <t>09:28</t>
  </si>
  <si>
    <t>20:56</t>
  </si>
  <si>
    <t>52019</t>
  </si>
  <si>
    <t>16:41</t>
  </si>
  <si>
    <t>12:10</t>
  </si>
  <si>
    <t>47k</t>
  </si>
  <si>
    <t>10:09</t>
  </si>
  <si>
    <t>34922</t>
  </si>
  <si>
    <t>18:21</t>
  </si>
  <si>
    <t>45k</t>
  </si>
  <si>
    <t>17:36</t>
  </si>
  <si>
    <t>39374</t>
  </si>
  <si>
    <t>09:11</t>
  </si>
  <si>
    <t>50592</t>
  </si>
  <si>
    <t>09:27</t>
  </si>
  <si>
    <t>14:20</t>
  </si>
  <si>
    <t>47.000</t>
  </si>
  <si>
    <t>09:35</t>
  </si>
  <si>
    <t>51.000đ</t>
  </si>
  <si>
    <t>18:38</t>
  </si>
  <si>
    <t>45.000đ</t>
  </si>
  <si>
    <t>14:26</t>
  </si>
  <si>
    <t>35872</t>
  </si>
  <si>
    <t>14:29</t>
  </si>
  <si>
    <t>11:51</t>
  </si>
  <si>
    <t>Caramel Macchiato</t>
  </si>
  <si>
    <t>62k</t>
  </si>
  <si>
    <t>16:30</t>
  </si>
  <si>
    <t>09:18</t>
  </si>
  <si>
    <t>09:19</t>
  </si>
  <si>
    <t>29.000đ</t>
  </si>
  <si>
    <t>12:16</t>
  </si>
  <si>
    <t>49822</t>
  </si>
  <si>
    <t>17:41</t>
  </si>
  <si>
    <t>12:09</t>
  </si>
  <si>
    <t>41302</t>
  </si>
  <si>
    <t>07:24</t>
  </si>
  <si>
    <t>19:25</t>
  </si>
  <si>
    <t>08:55</t>
  </si>
  <si>
    <t>41252</t>
  </si>
  <si>
    <t>15:21</t>
  </si>
  <si>
    <t>19:59</t>
  </si>
  <si>
    <t>12:00</t>
  </si>
  <si>
    <t>12:58</t>
  </si>
  <si>
    <t>13:41</t>
  </si>
  <si>
    <t>51.000</t>
  </si>
  <si>
    <t>08:16</t>
  </si>
  <si>
    <t>40776</t>
  </si>
  <si>
    <t>15:55</t>
  </si>
  <si>
    <t>54690</t>
  </si>
  <si>
    <t>12:24</t>
  </si>
  <si>
    <t>12:03</t>
  </si>
  <si>
    <t>19:07</t>
  </si>
  <si>
    <t>39.000</t>
  </si>
  <si>
    <t>16:51</t>
  </si>
  <si>
    <t>57k</t>
  </si>
  <si>
    <t>12:56</t>
  </si>
  <si>
    <t>08:34</t>
  </si>
  <si>
    <t>16:10</t>
  </si>
  <si>
    <t>08:40</t>
  </si>
  <si>
    <t>38.000đ</t>
  </si>
  <si>
    <t>17:57</t>
  </si>
  <si>
    <t>07:38</t>
  </si>
  <si>
    <t>55.000đ</t>
  </si>
  <si>
    <t>16:14</t>
  </si>
  <si>
    <t>08:31</t>
  </si>
  <si>
    <t>16:44</t>
  </si>
  <si>
    <t>09:12</t>
  </si>
  <si>
    <t>45118</t>
  </si>
  <si>
    <t>53k</t>
  </si>
  <si>
    <t>08:14</t>
  </si>
  <si>
    <t>46k</t>
  </si>
  <si>
    <t>14:09</t>
  </si>
  <si>
    <t>18:46</t>
  </si>
  <si>
    <t>11:26</t>
  </si>
  <si>
    <t>57490</t>
  </si>
  <si>
    <t>13:49</t>
  </si>
  <si>
    <t>07:19</t>
  </si>
  <si>
    <t>11:12</t>
  </si>
  <si>
    <t>18:01</t>
  </si>
  <si>
    <t>40744</t>
  </si>
  <si>
    <t>10:29</t>
  </si>
  <si>
    <t>09:22</t>
  </si>
  <si>
    <t>36k</t>
  </si>
  <si>
    <t>11:25</t>
  </si>
  <si>
    <t>08:38</t>
  </si>
  <si>
    <t>55.000</t>
  </si>
  <si>
    <t>09:58</t>
  </si>
  <si>
    <t>17:43</t>
  </si>
  <si>
    <t>12:53</t>
  </si>
  <si>
    <t>13:08</t>
  </si>
  <si>
    <t>48.000đ</t>
  </si>
  <si>
    <t>17:33</t>
  </si>
  <si>
    <t>46.000</t>
  </si>
  <si>
    <t>09:43</t>
  </si>
  <si>
    <t>16:38</t>
  </si>
  <si>
    <t>13:18</t>
  </si>
  <si>
    <t>34239</t>
  </si>
  <si>
    <t>09:52</t>
  </si>
  <si>
    <t>34.000</t>
  </si>
  <si>
    <t>12:37</t>
  </si>
  <si>
    <t>19:35</t>
  </si>
  <si>
    <t>17:25</t>
  </si>
  <si>
    <t>20:59</t>
  </si>
  <si>
    <t>34389</t>
  </si>
  <si>
    <t>13:42</t>
  </si>
  <si>
    <t>39051</t>
  </si>
  <si>
    <t>20:14</t>
  </si>
  <si>
    <t>11:53</t>
  </si>
  <si>
    <t>53727</t>
  </si>
  <si>
    <t>36633</t>
  </si>
  <si>
    <t>17:02</t>
  </si>
  <si>
    <t>52k</t>
  </si>
  <si>
    <t>08:08</t>
  </si>
  <si>
    <t>62.000đ</t>
  </si>
  <si>
    <t>20:19</t>
  </si>
  <si>
    <t>34040</t>
  </si>
  <si>
    <t>13:12</t>
  </si>
  <si>
    <t>18:33</t>
  </si>
  <si>
    <t>19:10</t>
  </si>
  <si>
    <t>33323</t>
  </si>
  <si>
    <t>14:42</t>
  </si>
  <si>
    <t>10:50</t>
  </si>
  <si>
    <t>61860</t>
  </si>
  <si>
    <t>09:30</t>
  </si>
  <si>
    <t>09:15</t>
  </si>
  <si>
    <t>07:51</t>
  </si>
  <si>
    <t>17:14</t>
  </si>
  <si>
    <t>11:01</t>
  </si>
  <si>
    <t>08:52</t>
  </si>
  <si>
    <t>17:38</t>
  </si>
  <si>
    <t>31.000</t>
  </si>
  <si>
    <t>10:11</t>
  </si>
  <si>
    <t>07:41</t>
  </si>
  <si>
    <t>17:17</t>
  </si>
  <si>
    <t>08:45</t>
  </si>
  <si>
    <t>47747</t>
  </si>
  <si>
    <t>15:19</t>
  </si>
  <si>
    <t>40184</t>
  </si>
  <si>
    <t>09:38</t>
  </si>
  <si>
    <t>09:48</t>
  </si>
  <si>
    <t>20:25</t>
  </si>
  <si>
    <t>12:06</t>
  </si>
  <si>
    <t>56.000</t>
  </si>
  <si>
    <t>09:32</t>
  </si>
  <si>
    <t>10:59</t>
  </si>
  <si>
    <t>50828</t>
  </si>
  <si>
    <t>13:35</t>
  </si>
  <si>
    <t>51518</t>
  </si>
  <si>
    <t>36410</t>
  </si>
  <si>
    <t>15:28</t>
  </si>
  <si>
    <t>54620</t>
  </si>
  <si>
    <t>14:54</t>
  </si>
  <si>
    <t>41704</t>
  </si>
  <si>
    <t>14:39</t>
  </si>
  <si>
    <t>08:09</t>
  </si>
  <si>
    <t>15:10</t>
  </si>
  <si>
    <t>57556</t>
  </si>
  <si>
    <t>14:15</t>
  </si>
  <si>
    <t>15:16</t>
  </si>
  <si>
    <t>55k</t>
  </si>
  <si>
    <t>11:30</t>
  </si>
  <si>
    <t>60k</t>
  </si>
  <si>
    <t>56k</t>
  </si>
  <si>
    <t>09:34</t>
  </si>
  <si>
    <t>17:23</t>
  </si>
  <si>
    <t>17:35</t>
  </si>
  <si>
    <t>13:57</t>
  </si>
  <si>
    <t>61228</t>
  </si>
  <si>
    <t>61k</t>
  </si>
  <si>
    <t>14:37</t>
  </si>
  <si>
    <t>10:27</t>
  </si>
  <si>
    <t>14:30</t>
  </si>
  <si>
    <t>07:52</t>
  </si>
  <si>
    <t>12:48</t>
  </si>
  <si>
    <t>47906</t>
  </si>
  <si>
    <t>12:11</t>
  </si>
  <si>
    <t>12:36</t>
  </si>
  <si>
    <t>12:13</t>
  </si>
  <si>
    <t>18:05</t>
  </si>
  <si>
    <t>13:03</t>
  </si>
  <si>
    <t>10:49</t>
  </si>
  <si>
    <t>53.000</t>
  </si>
  <si>
    <t>11:00</t>
  </si>
  <si>
    <t>38111</t>
  </si>
  <si>
    <t>12:02</t>
  </si>
  <si>
    <t>19:05</t>
  </si>
  <si>
    <t>38048</t>
  </si>
  <si>
    <t>14:10</t>
  </si>
  <si>
    <t>11:43</t>
  </si>
  <si>
    <t>12:47</t>
  </si>
  <si>
    <t>58.000đ</t>
  </si>
  <si>
    <t>11:56</t>
  </si>
  <si>
    <t>50.000đ</t>
  </si>
  <si>
    <t>11:50</t>
  </si>
  <si>
    <t>39271</t>
  </si>
  <si>
    <t>11:03</t>
  </si>
  <si>
    <t>07:14</t>
  </si>
  <si>
    <t>16:29</t>
  </si>
  <si>
    <t>17:04</t>
  </si>
  <si>
    <t>07:12</t>
  </si>
  <si>
    <t>29141</t>
  </si>
  <si>
    <t>09:06</t>
  </si>
  <si>
    <t>39021</t>
  </si>
  <si>
    <t>12:19</t>
  </si>
  <si>
    <t>44881</t>
  </si>
  <si>
    <t>57542</t>
  </si>
  <si>
    <t>15:07</t>
  </si>
  <si>
    <t>07:40</t>
  </si>
  <si>
    <t>08:29</t>
  </si>
  <si>
    <t>29.000</t>
  </si>
  <si>
    <t>10:12</t>
  </si>
  <si>
    <t>39741</t>
  </si>
  <si>
    <t>07:43</t>
  </si>
  <si>
    <t>12:05</t>
  </si>
  <si>
    <t>09:10</t>
  </si>
  <si>
    <t>40317</t>
  </si>
  <si>
    <t>09:04</t>
  </si>
  <si>
    <t>36.000đ</t>
  </si>
  <si>
    <t>08:30</t>
  </si>
  <si>
    <t>14:04</t>
  </si>
  <si>
    <t>13:10</t>
  </si>
  <si>
    <t>49658</t>
  </si>
  <si>
    <t>11:49</t>
  </si>
  <si>
    <t>38520</t>
  </si>
  <si>
    <t>11:41</t>
  </si>
  <si>
    <t>16:03</t>
  </si>
  <si>
    <t>Mã</t>
  </si>
  <si>
    <t>Cửa Hàng</t>
  </si>
  <si>
    <t>Mã NV</t>
  </si>
  <si>
    <t xml:space="preserve"> OD0011 </t>
  </si>
  <si>
    <t xml:space="preserve"> OD0027 </t>
  </si>
  <si>
    <t xml:space="preserve"> OD0112 </t>
  </si>
  <si>
    <t xml:space="preserve"> OD0073 </t>
  </si>
  <si>
    <t xml:space="preserve"> OD0203 </t>
  </si>
  <si>
    <t xml:space="preserve"> OD0160 </t>
  </si>
  <si>
    <t xml:space="preserve"> OD0196 </t>
  </si>
  <si>
    <t xml:space="preserve"> OD0036 </t>
  </si>
  <si>
    <t xml:space="preserve"> OD0198 </t>
  </si>
  <si>
    <t xml:space="preserve"> OD0222 </t>
  </si>
  <si>
    <t xml:space="preserve"> OD0103 </t>
  </si>
  <si>
    <t xml:space="preserve"> OD0162 </t>
  </si>
  <si>
    <t xml:space="preserve"> OD0076 </t>
  </si>
  <si>
    <t xml:space="preserve"> OD0001 </t>
  </si>
  <si>
    <t xml:space="preserve"> OD0022 </t>
  </si>
  <si>
    <t xml:space="preserve"> OD0086 </t>
  </si>
  <si>
    <t xml:space="preserve"> OD0253 </t>
  </si>
  <si>
    <t xml:space="preserve"> OD0130 </t>
  </si>
  <si>
    <t xml:space="preserve"> OD0030 </t>
  </si>
  <si>
    <t xml:space="preserve"> OD0043 </t>
  </si>
  <si>
    <t xml:space="preserve"> OD0074 </t>
  </si>
  <si>
    <t xml:space="preserve"> OD0252 </t>
  </si>
  <si>
    <t xml:space="preserve"> OD0040 </t>
  </si>
  <si>
    <t xml:space="preserve"> OD0014 </t>
  </si>
  <si>
    <t xml:space="preserve"> OD0070 </t>
  </si>
  <si>
    <t xml:space="preserve"> OD0134 </t>
  </si>
  <si>
    <t xml:space="preserve"> OD0200 </t>
  </si>
  <si>
    <t xml:space="preserve"> OD0132 </t>
  </si>
  <si>
    <t xml:space="preserve"> OD0012 </t>
  </si>
  <si>
    <t xml:space="preserve"> OD0242 </t>
  </si>
  <si>
    <t xml:space="preserve"> OD0241 </t>
  </si>
  <si>
    <t xml:space="preserve"> OD0013 </t>
  </si>
  <si>
    <t xml:space="preserve"> OD0175 </t>
  </si>
  <si>
    <t xml:space="preserve"> OD0054 </t>
  </si>
  <si>
    <t xml:space="preserve"> OD0217 </t>
  </si>
  <si>
    <t xml:space="preserve"> OD0191 </t>
  </si>
  <si>
    <t xml:space="preserve"> OD0006 </t>
  </si>
  <si>
    <t xml:space="preserve"> OD0002 </t>
  </si>
  <si>
    <t xml:space="preserve"> OD0085 </t>
  </si>
  <si>
    <t xml:space="preserve"> OD0071 </t>
  </si>
  <si>
    <t xml:space="preserve"> OD0053 </t>
  </si>
  <si>
    <t xml:space="preserve"> OD0020 </t>
  </si>
  <si>
    <t xml:space="preserve"> OD0099 </t>
  </si>
  <si>
    <t xml:space="preserve"> OD0038 </t>
  </si>
  <si>
    <t xml:space="preserve"> OD0262 </t>
  </si>
  <si>
    <t xml:space="preserve"> OD0005 </t>
  </si>
  <si>
    <t xml:space="preserve"> OD0056 </t>
  </si>
  <si>
    <t xml:space="preserve"> OD0063 </t>
  </si>
  <si>
    <t xml:space="preserve"> OD0126 </t>
  </si>
  <si>
    <t xml:space="preserve"> OD0189 </t>
  </si>
  <si>
    <t xml:space="preserve"> OD0024 </t>
  </si>
  <si>
    <t xml:space="preserve"> OD0192 </t>
  </si>
  <si>
    <t xml:space="preserve"> OD0193 </t>
  </si>
  <si>
    <t xml:space="preserve"> OD0249 </t>
  </si>
  <si>
    <t xml:space="preserve"> OD0273 </t>
  </si>
  <si>
    <t xml:space="preserve"> OD0260 </t>
  </si>
  <si>
    <t xml:space="preserve"> OD0096 </t>
  </si>
  <si>
    <t xml:space="preserve"> OD0035 </t>
  </si>
  <si>
    <t xml:space="preserve"> OD0144 </t>
  </si>
  <si>
    <t xml:space="preserve"> OD0187 </t>
  </si>
  <si>
    <t xml:space="preserve"> OD0127 </t>
  </si>
  <si>
    <t xml:space="preserve"> OD0226 </t>
  </si>
  <si>
    <t xml:space="preserve"> OD0214 </t>
  </si>
  <si>
    <t xml:space="preserve"> OD0248 </t>
  </si>
  <si>
    <t xml:space="preserve"> OD0055 </t>
  </si>
  <si>
    <t xml:space="preserve"> OD0166 </t>
  </si>
  <si>
    <t xml:space="preserve"> OD0271 </t>
  </si>
  <si>
    <t xml:space="preserve"> OD0033 </t>
  </si>
  <si>
    <t xml:space="preserve"> OD0048 </t>
  </si>
  <si>
    <t xml:space="preserve"> OD0269 </t>
  </si>
  <si>
    <t xml:space="preserve"> OD0037 </t>
  </si>
  <si>
    <t xml:space="preserve"> OD0026 </t>
  </si>
  <si>
    <t xml:space="preserve"> OD0148 </t>
  </si>
  <si>
    <t xml:space="preserve"> OD0167 </t>
  </si>
  <si>
    <t xml:space="preserve"> OD0194 </t>
  </si>
  <si>
    <t xml:space="preserve"> OD0201 </t>
  </si>
  <si>
    <t xml:space="preserve"> OD0218 </t>
  </si>
  <si>
    <t xml:space="preserve"> OD0254 </t>
  </si>
  <si>
    <t xml:space="preserve"> OD0146 </t>
  </si>
  <si>
    <t xml:space="preserve"> OD0231 </t>
  </si>
  <si>
    <t xml:space="preserve"> OD0209 </t>
  </si>
  <si>
    <t xml:space="preserve"> OD0266 </t>
  </si>
  <si>
    <t xml:space="preserve"> OD0234 </t>
  </si>
  <si>
    <t xml:space="preserve"> OD0060 </t>
  </si>
  <si>
    <t xml:space="preserve"> OD0220 </t>
  </si>
  <si>
    <t xml:space="preserve"> OD0067 </t>
  </si>
  <si>
    <t xml:space="preserve"> OD0251 </t>
  </si>
  <si>
    <t xml:space="preserve"> OD0270 </t>
  </si>
  <si>
    <t xml:space="preserve"> OD0263 </t>
  </si>
  <si>
    <t xml:space="preserve"> OD0118 </t>
  </si>
  <si>
    <t xml:space="preserve"> OD0268 </t>
  </si>
  <si>
    <t xml:space="preserve"> OD0143 </t>
  </si>
  <si>
    <t xml:space="preserve"> OD0278 </t>
  </si>
  <si>
    <t xml:space="preserve"> OD0072 </t>
  </si>
  <si>
    <t xml:space="preserve"> OD0120 </t>
  </si>
  <si>
    <t xml:space="preserve"> OD0128 </t>
  </si>
  <si>
    <t xml:space="preserve"> OD0159 </t>
  </si>
  <si>
    <t xml:space="preserve"> OD0202 </t>
  </si>
  <si>
    <t xml:space="preserve"> OD0181 </t>
  </si>
  <si>
    <t xml:space="preserve"> OD0094 </t>
  </si>
  <si>
    <t xml:space="preserve"> OD0009 </t>
  </si>
  <si>
    <t xml:space="preserve"> OD0184 </t>
  </si>
  <si>
    <t xml:space="preserve"> OD0047 </t>
  </si>
  <si>
    <t xml:space="preserve"> OD0247 </t>
  </si>
  <si>
    <t xml:space="preserve"> OD0049 </t>
  </si>
  <si>
    <t xml:space="preserve"> OD0170 </t>
  </si>
  <si>
    <t xml:space="preserve"> OD0083 </t>
  </si>
  <si>
    <t xml:space="preserve"> OD0164 </t>
  </si>
  <si>
    <t xml:space="preserve"> OD0207 </t>
  </si>
  <si>
    <t xml:space="preserve"> OD0115 </t>
  </si>
  <si>
    <t xml:space="preserve"> OD0277 </t>
  </si>
  <si>
    <t xml:space="preserve"> OD0206 </t>
  </si>
  <si>
    <t xml:space="preserve"> OD0236 </t>
  </si>
  <si>
    <t xml:space="preserve"> OD0025 </t>
  </si>
  <si>
    <t xml:space="preserve"> OD0044 </t>
  </si>
  <si>
    <t xml:space="preserve"> OD0018 </t>
  </si>
  <si>
    <t xml:space="preserve"> OD0133 </t>
  </si>
  <si>
    <t xml:space="preserve"> OD0246 </t>
  </si>
  <si>
    <t xml:space="preserve"> OD0084 </t>
  </si>
  <si>
    <t xml:space="preserve"> OD0276 </t>
  </si>
  <si>
    <t xml:space="preserve"> OD0113 </t>
  </si>
  <si>
    <t xml:space="preserve"> OD0223 </t>
  </si>
  <si>
    <t xml:space="preserve"> OD0178 </t>
  </si>
  <si>
    <t xml:space="preserve"> OD0141 </t>
  </si>
  <si>
    <t xml:space="preserve"> OD0180 </t>
  </si>
  <si>
    <t xml:space="preserve"> OD0088 </t>
  </si>
  <si>
    <t xml:space="preserve"> OD0021 </t>
  </si>
  <si>
    <t xml:space="preserve"> OD0219 </t>
  </si>
  <si>
    <t xml:space="preserve"> OD0136 </t>
  </si>
  <si>
    <t xml:space="preserve"> OD0235 </t>
  </si>
  <si>
    <t xml:space="preserve"> OD0028 </t>
  </si>
  <si>
    <t xml:space="preserve"> OD0092 </t>
  </si>
  <si>
    <t xml:space="preserve"> OD0089 </t>
  </si>
  <si>
    <t xml:space="preserve"> OD0123 </t>
  </si>
  <si>
    <t xml:space="preserve"> OD0183 </t>
  </si>
  <si>
    <t xml:space="preserve"> OD0017 </t>
  </si>
  <si>
    <t xml:space="preserve"> OD0205 </t>
  </si>
  <si>
    <t xml:space="preserve"> OD0171 </t>
  </si>
  <si>
    <t xml:space="preserve"> OD0257 </t>
  </si>
  <si>
    <t xml:space="preserve"> OD0221 </t>
  </si>
  <si>
    <t xml:space="preserve"> OD0121 </t>
  </si>
  <si>
    <t xml:space="preserve"> OD0061 </t>
  </si>
  <si>
    <t xml:space="preserve"> OD0244 </t>
  </si>
  <si>
    <t xml:space="preserve"> OD0031 </t>
  </si>
  <si>
    <t xml:space="preserve"> OD0264 </t>
  </si>
  <si>
    <t xml:space="preserve"> OD0066 </t>
  </si>
  <si>
    <t xml:space="preserve"> OD0105 </t>
  </si>
  <si>
    <t xml:space="preserve"> OD0080 </t>
  </si>
  <si>
    <t xml:space="preserve"> OD0010 </t>
  </si>
  <si>
    <t xml:space="preserve"> OD0045 </t>
  </si>
  <si>
    <t xml:space="preserve"> OD0023 </t>
  </si>
  <si>
    <t xml:space="preserve"> OD0274 </t>
  </si>
  <si>
    <t xml:space="preserve"> OD0122 </t>
  </si>
  <si>
    <t xml:space="preserve"> OD0142 </t>
  </si>
  <si>
    <t xml:space="preserve"> OD0046 </t>
  </si>
  <si>
    <t xml:space="preserve"> OD0098 </t>
  </si>
  <si>
    <t xml:space="preserve"> OD0228 </t>
  </si>
  <si>
    <t xml:space="preserve"> OD0016 </t>
  </si>
  <si>
    <t xml:space="preserve"> OD0212 </t>
  </si>
  <si>
    <t xml:space="preserve"> OD0233 </t>
  </si>
  <si>
    <t xml:space="preserve"> OD0041 </t>
  </si>
  <si>
    <t xml:space="preserve"> OD0188 </t>
  </si>
  <si>
    <t xml:space="preserve"> OD0267 </t>
  </si>
  <si>
    <t xml:space="preserve"> OD0173 </t>
  </si>
  <si>
    <t xml:space="preserve"> OD0153 </t>
  </si>
  <si>
    <t xml:space="preserve"> OD0237 </t>
  </si>
  <si>
    <t xml:space="preserve"> OD0199 </t>
  </si>
  <si>
    <t xml:space="preserve"> OD0117 </t>
  </si>
  <si>
    <t xml:space="preserve"> OD0065 </t>
  </si>
  <si>
    <t xml:space="preserve"> OD0158 </t>
  </si>
  <si>
    <t xml:space="preserve"> OD0156 </t>
  </si>
  <si>
    <t xml:space="preserve"> OD0261 </t>
  </si>
  <si>
    <t xml:space="preserve"> OD0186 </t>
  </si>
  <si>
    <t xml:space="preserve"> OD0182 </t>
  </si>
  <si>
    <t xml:space="preserve"> OD0097 </t>
  </si>
  <si>
    <t xml:space="preserve"> OD0101 </t>
  </si>
  <si>
    <t xml:space="preserve"> OD0243 </t>
  </si>
  <si>
    <t xml:space="preserve"> OD0169 </t>
  </si>
  <si>
    <t xml:space="preserve"> OD0091 </t>
  </si>
  <si>
    <t xml:space="preserve"> OD0068 </t>
  </si>
  <si>
    <t xml:space="preserve"> OD0265 </t>
  </si>
  <si>
    <t xml:space="preserve"> OD0232 </t>
  </si>
  <si>
    <t xml:space="preserve"> OD0154 </t>
  </si>
  <si>
    <t xml:space="preserve"> OD0275 </t>
  </si>
  <si>
    <t xml:space="preserve"> OD0172 </t>
  </si>
  <si>
    <t xml:space="preserve"> OD0211 </t>
  </si>
  <si>
    <t xml:space="preserve"> OD0124 </t>
  </si>
  <si>
    <t xml:space="preserve"> OD0110 </t>
  </si>
  <si>
    <t xml:space="preserve"> OD0104 </t>
  </si>
  <si>
    <t xml:space="preserve"> OD0062 </t>
  </si>
  <si>
    <t xml:space="preserve"> OD0069 </t>
  </si>
  <si>
    <t xml:space="preserve"> OD0034 </t>
  </si>
  <si>
    <t xml:space="preserve"> OD0039 </t>
  </si>
  <si>
    <t xml:space="preserve"> OD0042 </t>
  </si>
  <si>
    <t xml:space="preserve"> OD0239 </t>
  </si>
  <si>
    <t xml:space="preserve"> OD0015 </t>
  </si>
  <si>
    <t xml:space="preserve"> OD0057 </t>
  </si>
  <si>
    <t xml:space="preserve"> OD0151 </t>
  </si>
  <si>
    <t xml:space="preserve"> OD0179 </t>
  </si>
  <si>
    <t xml:space="preserve"> OD0114 </t>
  </si>
  <si>
    <t xml:space="preserve"> OD0095 </t>
  </si>
  <si>
    <t xml:space="preserve"> OD0090 </t>
  </si>
  <si>
    <t xml:space="preserve"> OD0138 </t>
  </si>
  <si>
    <t xml:space="preserve"> OD0077 </t>
  </si>
  <si>
    <t xml:space="preserve"> OD0004 </t>
  </si>
  <si>
    <t xml:space="preserve"> OD0245 </t>
  </si>
  <si>
    <t xml:space="preserve"> OD0250 </t>
  </si>
  <si>
    <t xml:space="preserve"> OD0224 </t>
  </si>
  <si>
    <t xml:space="preserve"> OD0111 </t>
  </si>
  <si>
    <t xml:space="preserve"> OD0075 </t>
  </si>
  <si>
    <t xml:space="preserve"> OD0131 </t>
  </si>
  <si>
    <t xml:space="preserve"> OD0145 </t>
  </si>
  <si>
    <t xml:space="preserve"> OD0139 </t>
  </si>
  <si>
    <t xml:space="preserve"> OD0185 </t>
  </si>
  <si>
    <t xml:space="preserve"> OD0087 </t>
  </si>
  <si>
    <t xml:space="preserve"> OD0229 </t>
  </si>
  <si>
    <t xml:space="preserve"> OD0079 </t>
  </si>
  <si>
    <t xml:space="preserve"> OD0176 </t>
  </si>
  <si>
    <t xml:space="preserve"> OD0155 </t>
  </si>
  <si>
    <t xml:space="preserve"> OD0204 </t>
  </si>
  <si>
    <t xml:space="preserve"> OD0210 </t>
  </si>
  <si>
    <t xml:space="preserve"> OD0152 </t>
  </si>
  <si>
    <t xml:space="preserve"> OD0100 </t>
  </si>
  <si>
    <t xml:space="preserve"> OD0225 </t>
  </si>
  <si>
    <t xml:space="preserve"> OD0258 </t>
  </si>
  <si>
    <t xml:space="preserve"> OD0157 </t>
  </si>
  <si>
    <t xml:space="preserve"> OD0256 </t>
  </si>
  <si>
    <t xml:space="preserve"> OD0081 </t>
  </si>
  <si>
    <t xml:space="preserve"> OD0140 </t>
  </si>
  <si>
    <t xml:space="preserve"> OD0051 </t>
  </si>
  <si>
    <t xml:space="preserve"> OD0147 </t>
  </si>
  <si>
    <t xml:space="preserve"> OD0032 </t>
  </si>
  <si>
    <t xml:space="preserve"> OD0109 </t>
  </si>
  <si>
    <t xml:space="preserve"> OD0059 </t>
  </si>
  <si>
    <t xml:space="preserve"> OD0165 </t>
  </si>
  <si>
    <t xml:space="preserve"> OD0230 </t>
  </si>
  <si>
    <t xml:space="preserve"> OD0213 </t>
  </si>
  <si>
    <t xml:space="preserve"> OD0208 </t>
  </si>
  <si>
    <t xml:space="preserve"> OD0008 </t>
  </si>
  <si>
    <t xml:space="preserve"> OD0082 </t>
  </si>
  <si>
    <t xml:space="preserve"> OD0050 </t>
  </si>
  <si>
    <t xml:space="preserve"> OD0119 </t>
  </si>
  <si>
    <t xml:space="preserve"> OD0163 </t>
  </si>
  <si>
    <t xml:space="preserve"> OD0161 </t>
  </si>
  <si>
    <t xml:space="preserve"> OD0102 </t>
  </si>
  <si>
    <t xml:space="preserve"> OD0215 </t>
  </si>
  <si>
    <t xml:space="preserve"> OD0227 </t>
  </si>
  <si>
    <t xml:space="preserve"> OD0174 </t>
  </si>
  <si>
    <t xml:space="preserve"> OD0195 </t>
  </si>
  <si>
    <t xml:space="preserve"> OD0259 </t>
  </si>
  <si>
    <t xml:space="preserve"> OD0280 </t>
  </si>
  <si>
    <t xml:space="preserve"> OD0137 </t>
  </si>
  <si>
    <t xml:space="preserve"> OD0007 </t>
  </si>
  <si>
    <t xml:space="preserve"> OD0255 </t>
  </si>
  <si>
    <t xml:space="preserve"> OD0197 </t>
  </si>
  <si>
    <t xml:space="preserve"> OD0190 </t>
  </si>
  <si>
    <t xml:space="preserve"> OD0078 </t>
  </si>
  <si>
    <t xml:space="preserve"> OD0240 </t>
  </si>
  <si>
    <t xml:space="preserve"> OD0168 </t>
  </si>
  <si>
    <t xml:space="preserve"> OD0093 </t>
  </si>
  <si>
    <t xml:space="preserve"> OD0238 </t>
  </si>
  <si>
    <t xml:space="preserve"> OD0052 </t>
  </si>
  <si>
    <t xml:space="preserve"> OD0116 </t>
  </si>
  <si>
    <t xml:space="preserve"> OD0019 </t>
  </si>
  <si>
    <t xml:space="preserve"> OD0150 </t>
  </si>
  <si>
    <t xml:space="preserve"> OD0272 </t>
  </si>
  <si>
    <t xml:space="preserve"> OD0135 </t>
  </si>
  <si>
    <t xml:space="preserve"> OD0129 </t>
  </si>
  <si>
    <t xml:space="preserve"> OD0003 </t>
  </si>
  <si>
    <t xml:space="preserve"> OD0029 </t>
  </si>
  <si>
    <t xml:space="preserve"> OD0058 </t>
  </si>
  <si>
    <t xml:space="preserve"> OD0107 </t>
  </si>
  <si>
    <t xml:space="preserve"> OD0177 </t>
  </si>
  <si>
    <t xml:space="preserve"> OD0149 </t>
  </si>
  <si>
    <t xml:space="preserve"> OD0108 </t>
  </si>
  <si>
    <t xml:space="preserve"> OD0279 </t>
  </si>
  <si>
    <t xml:space="preserve"> OD0216 </t>
  </si>
  <si>
    <t xml:space="preserve"> OD0125 </t>
  </si>
  <si>
    <t xml:space="preserve"> OD0106 </t>
  </si>
  <si>
    <t xml:space="preserve"> OD0064 </t>
  </si>
  <si>
    <t xml:space="preserve">  Ba Dinh </t>
  </si>
  <si>
    <t xml:space="preserve">  Hai Ba Trung </t>
  </si>
  <si>
    <t xml:space="preserve">  Hoan Kiem </t>
  </si>
  <si>
    <t xml:space="preserve">  Cau Giay </t>
  </si>
  <si>
    <t xml:space="preserve">  Dong Da </t>
  </si>
  <si>
    <t xml:space="preserve">  NV01</t>
  </si>
  <si>
    <t xml:space="preserve">  NV03</t>
  </si>
  <si>
    <t xml:space="preserve">  NV12</t>
  </si>
  <si>
    <t xml:space="preserve">  NV11</t>
  </si>
  <si>
    <t xml:space="preserve">  NV14</t>
  </si>
  <si>
    <t xml:space="preserve">  NV02</t>
  </si>
  <si>
    <t xml:space="preserve">  NV06</t>
  </si>
  <si>
    <t xml:space="preserve">  NV07</t>
  </si>
  <si>
    <t xml:space="preserve">  NV09</t>
  </si>
  <si>
    <t xml:space="preserve">  NV13</t>
  </si>
  <si>
    <t xml:space="preserve">  NV08</t>
  </si>
  <si>
    <t xml:space="preserve">  NV05</t>
  </si>
  <si>
    <t xml:space="preserve">  NV04</t>
  </si>
  <si>
    <t xml:space="preserve">  NV10</t>
  </si>
  <si>
    <t xml:space="preserve">  NV15</t>
  </si>
  <si>
    <t>Đơn Giá  Chuẩn</t>
  </si>
  <si>
    <t>Doanh Thu</t>
  </si>
  <si>
    <t>Giờ Bán</t>
  </si>
  <si>
    <t>Khung Giờ</t>
  </si>
  <si>
    <t>Row Labels</t>
  </si>
  <si>
    <t>Grand Total</t>
  </si>
  <si>
    <t>Sum of Doanh Thu</t>
  </si>
  <si>
    <t>Chieu</t>
  </si>
  <si>
    <t>Sang</t>
  </si>
  <si>
    <t>Toi</t>
  </si>
  <si>
    <t>Trua</t>
  </si>
  <si>
    <t>Count of Mã</t>
  </si>
  <si>
    <t>Sum of So_Luong</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</si>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</sst>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1010000]d/m/yyyy;@"/>
  </numFmts>
  <fonts count="5" x14ac:knownFonts="1">
    <font>
      <sz val="11"/>
      <color theme="1"/>
      <name val="Calibri"/>
      <scheme val="minor"/>
    </font>
    <font>
      <b/>
      <sz val="11"/>
      <color theme="1"/>
      <name val="Calibri"/>
    </font>
    <font>
      <sz val="11"/>
      <color theme="1"/>
      <name val="Calibri"/>
      <scheme val="minor"/>
    </font>
    <font>
      <b/>
      <sz val="11"/>
      <color theme="1"/>
      <name val="Calibri"/>
      <family val="2"/>
    </font>
    <font>
      <sz val="36"/>
      <color theme="4" tint="-0.499984740745262"/>
      <name val="Times New Roman"/>
      <family val="1"/>
    </font>
  </fonts>
  <fills count="3">
    <fill>
      <patternFill patternType="none"/>
    </fill>
    <fill>
      <patternFill patternType="gray125"/>
    </fill>
    <fill>
      <patternFill patternType="solid">
        <fgColor theme="4" tint="0.39997558519241921"/>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xf>
    <xf numFmtId="0" fontId="2" fillId="0" borderId="0" xfId="0" applyFont="1"/>
    <xf numFmtId="165" fontId="1" fillId="0" borderId="1" xfId="0" applyNumberFormat="1" applyFont="1" applyBorder="1" applyAlignment="1">
      <alignment horizontal="center" vertical="top"/>
    </xf>
    <xf numFmtId="165" fontId="2" fillId="0" borderId="0" xfId="0" applyNumberFormat="1" applyFont="1"/>
    <xf numFmtId="165" fontId="0" fillId="0" borderId="0" xfId="0" applyNumberFormat="1"/>
    <xf numFmtId="0" fontId="3" fillId="0" borderId="1" xfId="0" applyFont="1" applyBorder="1" applyAlignment="1">
      <alignment horizontal="center" vertical="top"/>
    </xf>
    <xf numFmtId="0" fontId="3" fillId="0" borderId="0" xfId="0" applyFont="1" applyBorder="1" applyAlignment="1">
      <alignment horizontal="center" vertical="top"/>
    </xf>
    <xf numFmtId="0" fontId="1" fillId="0" borderId="3" xfId="0" applyFont="1" applyBorder="1" applyAlignment="1">
      <alignment horizontal="center" vertical="top"/>
    </xf>
    <xf numFmtId="0" fontId="3" fillId="0" borderId="2" xfId="0" applyFont="1" applyBorder="1" applyAlignment="1">
      <alignment horizontal="center" vertical="top"/>
    </xf>
    <xf numFmtId="0" fontId="0" fillId="0" borderId="0" xfId="0" pivotButton="1"/>
    <xf numFmtId="165" fontId="0" fillId="0" borderId="0" xfId="0" applyNumberFormat="1" applyAlignment="1">
      <alignment horizontal="left"/>
    </xf>
    <xf numFmtId="0" fontId="0" fillId="0" borderId="0" xfId="0" applyAlignment="1">
      <alignment horizontal="left"/>
    </xf>
    <xf numFmtId="0" fontId="0" fillId="0" borderId="0" xfId="0" applyNumberFormat="1"/>
    <xf numFmtId="0" fontId="0" fillId="2" borderId="0" xfId="0" applyFill="1"/>
    <xf numFmtId="0" fontId="4" fillId="2" borderId="4" xfId="0" applyFont="1" applyFill="1" applyBorder="1" applyAlignment="1">
      <alignment horizontal="center"/>
    </xf>
    <xf numFmtId="0" fontId="4" fillId="2" borderId="5" xfId="0" applyFont="1" applyFill="1" applyBorder="1" applyAlignment="1">
      <alignment horizontal="center"/>
    </xf>
    <xf numFmtId="0" fontId="4" fillId="2" borderId="6" xfId="0" applyFont="1" applyFill="1" applyBorder="1" applyAlignment="1">
      <alignment horizontal="center"/>
    </xf>
    <xf numFmtId="0" fontId="4" fillId="2" borderId="7" xfId="0" applyFont="1" applyFill="1" applyBorder="1" applyAlignment="1">
      <alignment horizontal="center"/>
    </xf>
    <xf numFmtId="0" fontId="4" fillId="2" borderId="0" xfId="0" applyFont="1" applyFill="1" applyBorder="1" applyAlignment="1">
      <alignment horizontal="center"/>
    </xf>
    <xf numFmtId="0" fontId="4" fillId="2" borderId="8" xfId="0" applyFont="1" applyFill="1" applyBorder="1" applyAlignment="1">
      <alignment horizontal="center"/>
    </xf>
    <xf numFmtId="0" fontId="4" fillId="2" borderId="9" xfId="0" applyFont="1" applyFill="1" applyBorder="1" applyAlignment="1">
      <alignment horizontal="center"/>
    </xf>
    <xf numFmtId="0" fontId="4" fillId="2" borderId="10" xfId="0" applyFont="1" applyFill="1" applyBorder="1" applyAlignment="1">
      <alignment horizontal="center"/>
    </xf>
    <xf numFmtId="0" fontId="4" fillId="2" borderId="1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[Dataset_SS14_Bai4.xlsx]Sheet2!PivotTable1</c:name>
    <c:fmtId val="7"/>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r>
              <a:rPr lang="vi-VN">
                <a:solidFill>
                  <a:schemeClr val="accent1">
                    <a:lumMod val="75000"/>
                  </a:schemeClr>
                </a:solidFill>
                <a:latin typeface="Times New Roman" panose="02020603050405020304" pitchFamily="18" charset="0"/>
                <a:cs typeface="Times New Roman" panose="02020603050405020304" pitchFamily="18" charset="0"/>
              </a:rPr>
              <a:t>Xu hướng Doanh thu theo Ngày</a:t>
            </a:r>
            <a:endParaRPr lang="en-US">
              <a:solidFill>
                <a:schemeClr val="accent1">
                  <a:lumMod val="7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Sheet2!$A$2:$A$41</c:f>
              <c:strCache>
                <c:ptCount val="39"/>
                <c:pt idx="0">
                  <c:v>12/1/2024</c:v>
                </c:pt>
                <c:pt idx="1">
                  <c:v>12/2/2024</c:v>
                </c:pt>
                <c:pt idx="2">
                  <c:v>12/3/2024</c:v>
                </c:pt>
                <c:pt idx="3">
                  <c:v>12/4/2024</c:v>
                </c:pt>
                <c:pt idx="4">
                  <c:v>12/5/2024</c:v>
                </c:pt>
                <c:pt idx="5">
                  <c:v>12/6/2024</c:v>
                </c:pt>
                <c:pt idx="6">
                  <c:v>12/7/2024</c:v>
                </c:pt>
                <c:pt idx="7">
                  <c:v>12/8/2024</c:v>
                </c:pt>
                <c:pt idx="8">
                  <c:v>12/9/2024</c:v>
                </c:pt>
                <c:pt idx="9">
                  <c:v>12/10/2024</c:v>
                </c:pt>
                <c:pt idx="10">
                  <c:v>12/11/2024</c:v>
                </c:pt>
                <c:pt idx="11">
                  <c:v>1/12/2024</c:v>
                </c:pt>
                <c:pt idx="12">
                  <c:v>2/12/2024</c:v>
                </c:pt>
                <c:pt idx="13">
                  <c:v>3/12/2024</c:v>
                </c:pt>
                <c:pt idx="14">
                  <c:v>4/12/2024</c:v>
                </c:pt>
                <c:pt idx="15">
                  <c:v>5/12/2024</c:v>
                </c:pt>
                <c:pt idx="16">
                  <c:v>6/12/2024</c:v>
                </c:pt>
                <c:pt idx="17">
                  <c:v>7/12/2024</c:v>
                </c:pt>
                <c:pt idx="18">
                  <c:v>8/12/2024</c:v>
                </c:pt>
                <c:pt idx="19">
                  <c:v>9/12/2024</c:v>
                </c:pt>
                <c:pt idx="20">
                  <c:v>10/12/2024</c:v>
                </c:pt>
                <c:pt idx="21">
                  <c:v>11/12/2024</c:v>
                </c:pt>
                <c:pt idx="22">
                  <c:v>12/12/2024</c:v>
                </c:pt>
                <c:pt idx="23">
                  <c:v>13/12/2024</c:v>
                </c:pt>
                <c:pt idx="24">
                  <c:v>14/12/2024</c:v>
                </c:pt>
                <c:pt idx="25">
                  <c:v>15/12/2024</c:v>
                </c:pt>
                <c:pt idx="26">
                  <c:v>16/12/2024</c:v>
                </c:pt>
                <c:pt idx="27">
                  <c:v>17/12/2024</c:v>
                </c:pt>
                <c:pt idx="28">
                  <c:v>18/12/2024</c:v>
                </c:pt>
                <c:pt idx="29">
                  <c:v>19/12/2024</c:v>
                </c:pt>
                <c:pt idx="30">
                  <c:v>20/12/2024</c:v>
                </c:pt>
                <c:pt idx="31">
                  <c:v>21/12/2024</c:v>
                </c:pt>
                <c:pt idx="32">
                  <c:v>22/12/2024</c:v>
                </c:pt>
                <c:pt idx="33">
                  <c:v>23/12/2024</c:v>
                </c:pt>
                <c:pt idx="34">
                  <c:v>24/12/2024</c:v>
                </c:pt>
                <c:pt idx="35">
                  <c:v>25/12/2024</c:v>
                </c:pt>
                <c:pt idx="36">
                  <c:v>26/12/2024</c:v>
                </c:pt>
                <c:pt idx="37">
                  <c:v>27/12/2024</c:v>
                </c:pt>
                <c:pt idx="38">
                  <c:v>28/12/2024</c:v>
                </c:pt>
              </c:strCache>
            </c:strRef>
          </c:cat>
          <c:val>
            <c:numRef>
              <c:f>Sheet2!$B$2:$B$41</c:f>
              <c:numCache>
                <c:formatCode>General</c:formatCode>
                <c:ptCount val="39"/>
                <c:pt idx="0">
                  <c:v>441312</c:v>
                </c:pt>
                <c:pt idx="1">
                  <c:v>118962</c:v>
                </c:pt>
                <c:pt idx="2">
                  <c:v>482078</c:v>
                </c:pt>
                <c:pt idx="3">
                  <c:v>473000</c:v>
                </c:pt>
                <c:pt idx="4">
                  <c:v>134000</c:v>
                </c:pt>
                <c:pt idx="5">
                  <c:v>268000</c:v>
                </c:pt>
                <c:pt idx="6">
                  <c:v>87321</c:v>
                </c:pt>
                <c:pt idx="7">
                  <c:v>501111</c:v>
                </c:pt>
                <c:pt idx="8">
                  <c:v>783118</c:v>
                </c:pt>
                <c:pt idx="9">
                  <c:v>229000</c:v>
                </c:pt>
                <c:pt idx="10">
                  <c:v>257906</c:v>
                </c:pt>
                <c:pt idx="11">
                  <c:v>311874</c:v>
                </c:pt>
                <c:pt idx="12">
                  <c:v>41000</c:v>
                </c:pt>
                <c:pt idx="13">
                  <c:v>710011</c:v>
                </c:pt>
                <c:pt idx="14">
                  <c:v>326218</c:v>
                </c:pt>
                <c:pt idx="15">
                  <c:v>819005</c:v>
                </c:pt>
                <c:pt idx="16">
                  <c:v>632943</c:v>
                </c:pt>
                <c:pt idx="17">
                  <c:v>506776</c:v>
                </c:pt>
                <c:pt idx="18">
                  <c:v>278252</c:v>
                </c:pt>
                <c:pt idx="19">
                  <c:v>281000</c:v>
                </c:pt>
                <c:pt idx="20">
                  <c:v>600000</c:v>
                </c:pt>
                <c:pt idx="21">
                  <c:v>450671</c:v>
                </c:pt>
                <c:pt idx="22">
                  <c:v>1114554</c:v>
                </c:pt>
                <c:pt idx="23">
                  <c:v>1424153</c:v>
                </c:pt>
                <c:pt idx="24">
                  <c:v>846324</c:v>
                </c:pt>
                <c:pt idx="25">
                  <c:v>926627</c:v>
                </c:pt>
                <c:pt idx="26">
                  <c:v>731727</c:v>
                </c:pt>
                <c:pt idx="27">
                  <c:v>649159</c:v>
                </c:pt>
                <c:pt idx="28">
                  <c:v>411433</c:v>
                </c:pt>
                <c:pt idx="29">
                  <c:v>1158642</c:v>
                </c:pt>
                <c:pt idx="30">
                  <c:v>698000</c:v>
                </c:pt>
                <c:pt idx="31">
                  <c:v>1311775</c:v>
                </c:pt>
                <c:pt idx="32">
                  <c:v>664184</c:v>
                </c:pt>
                <c:pt idx="33">
                  <c:v>590922</c:v>
                </c:pt>
                <c:pt idx="34">
                  <c:v>822669</c:v>
                </c:pt>
                <c:pt idx="35">
                  <c:v>648689</c:v>
                </c:pt>
                <c:pt idx="36">
                  <c:v>365793</c:v>
                </c:pt>
                <c:pt idx="37">
                  <c:v>946504</c:v>
                </c:pt>
                <c:pt idx="38">
                  <c:v>388446</c:v>
                </c:pt>
              </c:numCache>
            </c:numRef>
          </c:val>
          <c:smooth val="0"/>
          <c:extLst>
            <c:ext xmlns:c16="http://schemas.microsoft.com/office/drawing/2014/chart" uri="{C3380CC4-5D6E-409C-BE32-E72D297353CC}">
              <c16:uniqueId val="{00000000-416E-4B81-AC2F-432E6809F3C2}"/>
            </c:ext>
          </c:extLst>
        </c:ser>
        <c:dLbls>
          <c:dLblPos val="t"/>
          <c:showLegendKey val="0"/>
          <c:showVal val="1"/>
          <c:showCatName val="0"/>
          <c:showSerName val="0"/>
          <c:showPercent val="0"/>
          <c:showBubbleSize val="0"/>
        </c:dLbls>
        <c:smooth val="0"/>
        <c:axId val="651414816"/>
        <c:axId val="651411936"/>
      </c:lineChart>
      <c:catAx>
        <c:axId val="65141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1411936"/>
        <c:crosses val="autoZero"/>
        <c:auto val="1"/>
        <c:lblAlgn val="ctr"/>
        <c:lblOffset val="100"/>
        <c:noMultiLvlLbl val="0"/>
      </c:catAx>
      <c:valAx>
        <c:axId val="6514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141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[Dataset_SS14_Bai4.xlsx]Sheet2!PivotTable2</c:name>
    <c:fmtId val="4"/>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r>
              <a:rPr lang="en-US">
                <a:solidFill>
                  <a:schemeClr val="accent1">
                    <a:lumMod val="75000"/>
                  </a:schemeClr>
                </a:solidFill>
                <a:latin typeface="Times New Roman" panose="02020603050405020304" pitchFamily="18" charset="0"/>
                <a:cs typeface="Times New Roman" panose="02020603050405020304" pitchFamily="18" charset="0"/>
              </a:rPr>
              <a:t>Doanh thu theo Cửa hàng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Sheet2!$A$64:$A$69</c:f>
              <c:strCache>
                <c:ptCount val="5"/>
                <c:pt idx="0">
                  <c:v>  Cau Giay </c:v>
                </c:pt>
                <c:pt idx="1">
                  <c:v>  Hoan Kiem </c:v>
                </c:pt>
                <c:pt idx="2">
                  <c:v>  Hai Ba Trung </c:v>
                </c:pt>
                <c:pt idx="3">
                  <c:v>  Dong Da </c:v>
                </c:pt>
                <c:pt idx="4">
                  <c:v>  Ba Dinh </c:v>
                </c:pt>
              </c:strCache>
            </c:strRef>
          </c:cat>
          <c:val>
            <c:numRef>
              <c:f>Sheet2!$B$64:$B$69</c:f>
              <c:numCache>
                <c:formatCode>General</c:formatCode>
                <c:ptCount val="5"/>
                <c:pt idx="0">
                  <c:v>5274923</c:v>
                </c:pt>
                <c:pt idx="1">
                  <c:v>4927991</c:v>
                </c:pt>
                <c:pt idx="2">
                  <c:v>4233515</c:v>
                </c:pt>
                <c:pt idx="3">
                  <c:v>4043363</c:v>
                </c:pt>
                <c:pt idx="4">
                  <c:v>3953367</c:v>
                </c:pt>
              </c:numCache>
            </c:numRef>
          </c:val>
          <c:extLst>
            <c:ext xmlns:c16="http://schemas.microsoft.com/office/drawing/2014/chart" uri="{C3380CC4-5D6E-409C-BE32-E72D297353CC}">
              <c16:uniqueId val="{00000000-3C4D-46A0-BE8D-44FEB13A63C1}"/>
            </c:ext>
          </c:extLst>
        </c:ser>
        <c:dLbls>
          <c:dLblPos val="outEnd"/>
          <c:showLegendKey val="0"/>
          <c:showVal val="1"/>
          <c:showCatName val="0"/>
          <c:showSerName val="0"/>
          <c:showPercent val="0"/>
          <c:showBubbleSize val="0"/>
        </c:dLbls>
        <c:gapWidth val="219"/>
        <c:overlap val="-27"/>
        <c:axId val="527060688"/>
        <c:axId val="528615480"/>
      </c:barChart>
      <c:catAx>
        <c:axId val="52706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8615480"/>
        <c:crosses val="autoZero"/>
        <c:auto val="1"/>
        <c:lblAlgn val="ctr"/>
        <c:lblOffset val="100"/>
        <c:noMultiLvlLbl val="0"/>
      </c:catAx>
      <c:valAx>
        <c:axId val="52861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06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[Dataset_SS14_Bai4.xlsx]Sheet2!PivotTable3</c:name>
    <c:fmtId val="4"/>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r>
              <a:rPr lang="vi-VN">
                <a:solidFill>
                  <a:schemeClr val="accent1">
                    <a:lumMod val="75000"/>
                  </a:schemeClr>
                </a:solidFill>
                <a:latin typeface="Times New Roman" panose="02020603050405020304" pitchFamily="18" charset="0"/>
                <a:cs typeface="Times New Roman" panose="02020603050405020304" pitchFamily="18" charset="0"/>
              </a:rPr>
              <a:t>Cơ cấu Doanh thu theo Loại đồ</a:t>
            </a:r>
            <a:endParaRPr lang="en-US">
              <a:solidFill>
                <a:schemeClr val="accent1">
                  <a:lumMod val="7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hade val="44000"/>
            </a:schemeClr>
          </a:solidFill>
          <a:ln w="19050">
            <a:solidFill>
              <a:schemeClr val="lt1"/>
            </a:solidFill>
          </a:ln>
          <a:effectLst/>
        </c:spPr>
      </c:pivotFmt>
      <c:pivotFmt>
        <c:idx val="3"/>
        <c:spPr>
          <a:solidFill>
            <a:schemeClr val="accent1">
              <a:shade val="58000"/>
            </a:schemeClr>
          </a:solidFill>
          <a:ln w="19050">
            <a:solidFill>
              <a:schemeClr val="lt1"/>
            </a:solidFill>
          </a:ln>
          <a:effectLst/>
        </c:spPr>
      </c:pivotFmt>
      <c:pivotFmt>
        <c:idx val="4"/>
        <c:spPr>
          <a:solidFill>
            <a:schemeClr val="accent1">
              <a:shade val="72000"/>
            </a:schemeClr>
          </a:solidFill>
          <a:ln w="19050">
            <a:solidFill>
              <a:schemeClr val="lt1"/>
            </a:solidFill>
          </a:ln>
          <a:effectLst/>
        </c:spPr>
      </c:pivotFmt>
      <c:pivotFmt>
        <c:idx val="5"/>
        <c:spPr>
          <a:solidFill>
            <a:schemeClr val="accent1">
              <a:shade val="86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86000"/>
            </a:schemeClr>
          </a:solidFill>
          <a:ln w="19050">
            <a:solidFill>
              <a:schemeClr val="lt1"/>
            </a:solidFill>
          </a:ln>
          <a:effectLst/>
        </c:spPr>
      </c:pivotFmt>
      <c:pivotFmt>
        <c:idx val="8"/>
        <c:spPr>
          <a:solidFill>
            <a:schemeClr val="accent1">
              <a:tint val="72000"/>
            </a:schemeClr>
          </a:solidFill>
          <a:ln w="19050">
            <a:solidFill>
              <a:schemeClr val="lt1"/>
            </a:solidFill>
          </a:ln>
          <a:effectLst/>
        </c:spPr>
      </c:pivotFmt>
      <c:pivotFmt>
        <c:idx val="9"/>
        <c:spPr>
          <a:solidFill>
            <a:schemeClr val="accent1">
              <a:tint val="58000"/>
            </a:schemeClr>
          </a:solidFill>
          <a:ln w="19050">
            <a:solidFill>
              <a:schemeClr val="lt1"/>
            </a:solidFill>
          </a:ln>
          <a:effectLst/>
        </c:spPr>
      </c:pivotFmt>
      <c:pivotFmt>
        <c:idx val="10"/>
        <c:spPr>
          <a:solidFill>
            <a:schemeClr val="accent1">
              <a:tint val="44000"/>
            </a:schemeClr>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hade val="44000"/>
            </a:schemeClr>
          </a:solidFill>
          <a:ln w="19050">
            <a:solidFill>
              <a:schemeClr val="lt1"/>
            </a:solidFill>
          </a:ln>
          <a:effectLst/>
        </c:spPr>
      </c:pivotFmt>
      <c:pivotFmt>
        <c:idx val="13"/>
        <c:spPr>
          <a:solidFill>
            <a:schemeClr val="accent1">
              <a:shade val="58000"/>
            </a:schemeClr>
          </a:solidFill>
          <a:ln w="19050">
            <a:solidFill>
              <a:schemeClr val="lt1"/>
            </a:solidFill>
          </a:ln>
          <a:effectLst/>
        </c:spPr>
      </c:pivotFmt>
      <c:pivotFmt>
        <c:idx val="14"/>
        <c:spPr>
          <a:solidFill>
            <a:schemeClr val="accent1">
              <a:shade val="72000"/>
            </a:schemeClr>
          </a:solidFill>
          <a:ln w="19050">
            <a:solidFill>
              <a:schemeClr val="lt1"/>
            </a:solidFill>
          </a:ln>
          <a:effectLst/>
        </c:spPr>
      </c:pivotFmt>
      <c:pivotFmt>
        <c:idx val="15"/>
        <c:spPr>
          <a:solidFill>
            <a:schemeClr val="accent1">
              <a:shade val="86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86000"/>
            </a:schemeClr>
          </a:solidFill>
          <a:ln w="19050">
            <a:solidFill>
              <a:schemeClr val="lt1"/>
            </a:solidFill>
          </a:ln>
          <a:effectLst/>
        </c:spPr>
      </c:pivotFmt>
      <c:pivotFmt>
        <c:idx val="18"/>
        <c:spPr>
          <a:solidFill>
            <a:schemeClr val="accent1">
              <a:tint val="72000"/>
            </a:schemeClr>
          </a:solidFill>
          <a:ln w="19050">
            <a:solidFill>
              <a:schemeClr val="lt1"/>
            </a:solidFill>
          </a:ln>
          <a:effectLst/>
        </c:spPr>
      </c:pivotFmt>
      <c:pivotFmt>
        <c:idx val="19"/>
        <c:spPr>
          <a:solidFill>
            <a:schemeClr val="accent1">
              <a:tint val="58000"/>
            </a:schemeClr>
          </a:solidFill>
          <a:ln w="19050">
            <a:solidFill>
              <a:schemeClr val="lt1"/>
            </a:solidFill>
          </a:ln>
          <a:effectLst/>
        </c:spPr>
      </c:pivotFmt>
      <c:pivotFmt>
        <c:idx val="20"/>
        <c:spPr>
          <a:solidFill>
            <a:schemeClr val="accent1">
              <a:tint val="44000"/>
            </a:schemeClr>
          </a:solidFill>
          <a:ln w="19050">
            <a:solidFill>
              <a:schemeClr val="lt1"/>
            </a:solidFill>
          </a:ln>
          <a:effectLst/>
        </c:spPr>
      </c:pivotFmt>
    </c:pivotFmts>
    <c:plotArea>
      <c:layout/>
      <c:pieChart>
        <c:varyColors val="1"/>
        <c:ser>
          <c:idx val="0"/>
          <c:order val="0"/>
          <c:tx>
            <c:strRef>
              <c:f>Sheet2!$N$1</c:f>
              <c:strCache>
                <c:ptCount val="1"/>
                <c:pt idx="0">
                  <c:v>Total</c:v>
                </c:pt>
              </c:strCache>
            </c:strRef>
          </c:tx>
          <c:dPt>
            <c:idx val="0"/>
            <c:bubble3D val="0"/>
            <c:spPr>
              <a:solidFill>
                <a:schemeClr val="accent1">
                  <a:shade val="44000"/>
                </a:schemeClr>
              </a:solidFill>
              <a:ln w="19050">
                <a:solidFill>
                  <a:schemeClr val="lt1"/>
                </a:solidFill>
              </a:ln>
              <a:effectLst/>
            </c:spPr>
            <c:extLst>
              <c:ext xmlns:c16="http://schemas.microsoft.com/office/drawing/2014/chart" uri="{C3380CC4-5D6E-409C-BE32-E72D297353CC}">
                <c16:uniqueId val="{00000001-7D12-4698-997B-FC586DD25071}"/>
              </c:ext>
            </c:extLst>
          </c:dPt>
          <c:dPt>
            <c:idx val="1"/>
            <c:bubble3D val="0"/>
            <c:spPr>
              <a:solidFill>
                <a:schemeClr val="accent1">
                  <a:shade val="58000"/>
                </a:schemeClr>
              </a:solidFill>
              <a:ln w="19050">
                <a:solidFill>
                  <a:schemeClr val="lt1"/>
                </a:solidFill>
              </a:ln>
              <a:effectLst/>
            </c:spPr>
            <c:extLst>
              <c:ext xmlns:c16="http://schemas.microsoft.com/office/drawing/2014/chart" uri="{C3380CC4-5D6E-409C-BE32-E72D297353CC}">
                <c16:uniqueId val="{00000003-7D12-4698-997B-FC586DD25071}"/>
              </c:ext>
            </c:extLst>
          </c:dPt>
          <c:dPt>
            <c:idx val="2"/>
            <c:bubble3D val="0"/>
            <c:spPr>
              <a:solidFill>
                <a:schemeClr val="accent1">
                  <a:shade val="72000"/>
                </a:schemeClr>
              </a:solidFill>
              <a:ln w="19050">
                <a:solidFill>
                  <a:schemeClr val="lt1"/>
                </a:solidFill>
              </a:ln>
              <a:effectLst/>
            </c:spPr>
            <c:extLst>
              <c:ext xmlns:c16="http://schemas.microsoft.com/office/drawing/2014/chart" uri="{C3380CC4-5D6E-409C-BE32-E72D297353CC}">
                <c16:uniqueId val="{00000005-7D12-4698-997B-FC586DD25071}"/>
              </c:ext>
            </c:extLst>
          </c:dPt>
          <c:dPt>
            <c:idx val="3"/>
            <c:bubble3D val="0"/>
            <c:spPr>
              <a:solidFill>
                <a:schemeClr val="accent1">
                  <a:shade val="86000"/>
                </a:schemeClr>
              </a:solidFill>
              <a:ln w="19050">
                <a:solidFill>
                  <a:schemeClr val="lt1"/>
                </a:solidFill>
              </a:ln>
              <a:effectLst/>
            </c:spPr>
            <c:extLst>
              <c:ext xmlns:c16="http://schemas.microsoft.com/office/drawing/2014/chart" uri="{C3380CC4-5D6E-409C-BE32-E72D297353CC}">
                <c16:uniqueId val="{00000007-7D12-4698-997B-FC586DD25071}"/>
              </c:ext>
            </c:extLst>
          </c:dPt>
          <c:dPt>
            <c:idx val="4"/>
            <c:bubble3D val="0"/>
            <c:spPr>
              <a:solidFill>
                <a:schemeClr val="accent1"/>
              </a:solidFill>
              <a:ln w="19050">
                <a:solidFill>
                  <a:schemeClr val="lt1"/>
                </a:solidFill>
              </a:ln>
              <a:effectLst/>
            </c:spPr>
            <c:extLst>
              <c:ext xmlns:c16="http://schemas.microsoft.com/office/drawing/2014/chart" uri="{C3380CC4-5D6E-409C-BE32-E72D297353CC}">
                <c16:uniqueId val="{00000009-7D12-4698-997B-FC586DD25071}"/>
              </c:ext>
            </c:extLst>
          </c:dPt>
          <c:dPt>
            <c:idx val="5"/>
            <c:bubble3D val="0"/>
            <c:spPr>
              <a:solidFill>
                <a:schemeClr val="accent1">
                  <a:tint val="86000"/>
                </a:schemeClr>
              </a:solidFill>
              <a:ln w="19050">
                <a:solidFill>
                  <a:schemeClr val="lt1"/>
                </a:solidFill>
              </a:ln>
              <a:effectLst/>
            </c:spPr>
            <c:extLst>
              <c:ext xmlns:c16="http://schemas.microsoft.com/office/drawing/2014/chart" uri="{C3380CC4-5D6E-409C-BE32-E72D297353CC}">
                <c16:uniqueId val="{0000000B-7D12-4698-997B-FC586DD25071}"/>
              </c:ext>
            </c:extLst>
          </c:dPt>
          <c:dPt>
            <c:idx val="6"/>
            <c:bubble3D val="0"/>
            <c:spPr>
              <a:solidFill>
                <a:schemeClr val="accent1">
                  <a:tint val="72000"/>
                </a:schemeClr>
              </a:solidFill>
              <a:ln w="19050">
                <a:solidFill>
                  <a:schemeClr val="lt1"/>
                </a:solidFill>
              </a:ln>
              <a:effectLst/>
            </c:spPr>
            <c:extLst>
              <c:ext xmlns:c16="http://schemas.microsoft.com/office/drawing/2014/chart" uri="{C3380CC4-5D6E-409C-BE32-E72D297353CC}">
                <c16:uniqueId val="{0000000D-7D12-4698-997B-FC586DD25071}"/>
              </c:ext>
            </c:extLst>
          </c:dPt>
          <c:dPt>
            <c:idx val="7"/>
            <c:bubble3D val="0"/>
            <c:spPr>
              <a:solidFill>
                <a:schemeClr val="accent1">
                  <a:tint val="58000"/>
                </a:schemeClr>
              </a:solidFill>
              <a:ln w="19050">
                <a:solidFill>
                  <a:schemeClr val="lt1"/>
                </a:solidFill>
              </a:ln>
              <a:effectLst/>
            </c:spPr>
            <c:extLst>
              <c:ext xmlns:c16="http://schemas.microsoft.com/office/drawing/2014/chart" uri="{C3380CC4-5D6E-409C-BE32-E72D297353CC}">
                <c16:uniqueId val="{0000000F-7D12-4698-997B-FC586DD25071}"/>
              </c:ext>
            </c:extLst>
          </c:dPt>
          <c:dPt>
            <c:idx val="8"/>
            <c:bubble3D val="0"/>
            <c:spPr>
              <a:solidFill>
                <a:schemeClr val="accent1">
                  <a:tint val="44000"/>
                </a:schemeClr>
              </a:solidFill>
              <a:ln w="19050">
                <a:solidFill>
                  <a:schemeClr val="lt1"/>
                </a:solidFill>
              </a:ln>
              <a:effectLst/>
            </c:spPr>
            <c:extLst>
              <c:ext xmlns:c16="http://schemas.microsoft.com/office/drawing/2014/chart" uri="{C3380CC4-5D6E-409C-BE32-E72D297353CC}">
                <c16:uniqueId val="{00000011-7D12-4698-997B-FC586DD25071}"/>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Sheet2!$M$2:$M$11</c:f>
              <c:strCache>
                <c:ptCount val="9"/>
                <c:pt idx="0">
                  <c:v>Banh</c:v>
                </c:pt>
                <c:pt idx="1">
                  <c:v>Ca phe</c:v>
                </c:pt>
                <c:pt idx="2">
                  <c:v>Do an</c:v>
                </c:pt>
                <c:pt idx="3">
                  <c:v>Food</c:v>
                </c:pt>
                <c:pt idx="4">
                  <c:v>Juice</c:v>
                </c:pt>
                <c:pt idx="5">
                  <c:v>Nuoc ep</c:v>
                </c:pt>
                <c:pt idx="6">
                  <c:v>Sinh to</c:v>
                </c:pt>
                <c:pt idx="7">
                  <c:v>Smoothie</c:v>
                </c:pt>
                <c:pt idx="8">
                  <c:v>Tra</c:v>
                </c:pt>
              </c:strCache>
            </c:strRef>
          </c:cat>
          <c:val>
            <c:numRef>
              <c:f>Sheet2!$N$2:$N$11</c:f>
              <c:numCache>
                <c:formatCode>General</c:formatCode>
                <c:ptCount val="9"/>
                <c:pt idx="0">
                  <c:v>987922</c:v>
                </c:pt>
                <c:pt idx="1">
                  <c:v>10510957</c:v>
                </c:pt>
                <c:pt idx="2">
                  <c:v>699796</c:v>
                </c:pt>
                <c:pt idx="3">
                  <c:v>1187881</c:v>
                </c:pt>
                <c:pt idx="4">
                  <c:v>474767</c:v>
                </c:pt>
                <c:pt idx="5">
                  <c:v>1278799</c:v>
                </c:pt>
                <c:pt idx="6">
                  <c:v>1376678</c:v>
                </c:pt>
                <c:pt idx="7">
                  <c:v>1575235</c:v>
                </c:pt>
                <c:pt idx="8">
                  <c:v>4341124</c:v>
                </c:pt>
              </c:numCache>
            </c:numRef>
          </c:val>
          <c:extLst>
            <c:ext xmlns:c16="http://schemas.microsoft.com/office/drawing/2014/chart" uri="{C3380CC4-5D6E-409C-BE32-E72D297353CC}">
              <c16:uniqueId val="{00000012-7D12-4698-997B-FC586DD250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[Dataset_SS14_Bai4.xlsx]Sheet2!PivotTable4</c:name>
    <c:fmtId val="4"/>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a:solidFill>
                  <a:schemeClr val="accent1">
                    <a:lumMod val="75000"/>
                  </a:schemeClr>
                </a:solidFill>
              </a:rPr>
              <a:t>Doanh thu theo Khung giờ</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Sheet2!$N$33</c:f>
              <c:strCache>
                <c:ptCount val="1"/>
                <c:pt idx="0">
                  <c:v>Sum of Doanh Thu</c:v>
                </c:pt>
              </c:strCache>
            </c:strRef>
          </c:tx>
          <c:spPr>
            <a:solidFill>
              <a:schemeClr val="accent1">
                <a:shade val="76000"/>
              </a:schemeClr>
            </a:solidFill>
            <a:ln>
              <a:noFill/>
            </a:ln>
            <a:effectLst/>
          </c:spPr>
          <c:invertIfNegative val="0"/>
          <c:cat>
            <c:strRef>
              <c:f>Sheet2!$M$34:$M$38</c:f>
              <c:strCache>
                <c:ptCount val="4"/>
                <c:pt idx="0">
                  <c:v>Chieu</c:v>
                </c:pt>
                <c:pt idx="1">
                  <c:v>Sang</c:v>
                </c:pt>
                <c:pt idx="2">
                  <c:v>Toi</c:v>
                </c:pt>
                <c:pt idx="3">
                  <c:v>Trua</c:v>
                </c:pt>
              </c:strCache>
            </c:strRef>
          </c:cat>
          <c:val>
            <c:numRef>
              <c:f>Sheet2!$N$34:$N$38</c:f>
              <c:numCache>
                <c:formatCode>General</c:formatCode>
                <c:ptCount val="4"/>
                <c:pt idx="0">
                  <c:v>4285908</c:v>
                </c:pt>
                <c:pt idx="1">
                  <c:v>8332711</c:v>
                </c:pt>
                <c:pt idx="2">
                  <c:v>3983501</c:v>
                </c:pt>
                <c:pt idx="3">
                  <c:v>5831039</c:v>
                </c:pt>
              </c:numCache>
            </c:numRef>
          </c:val>
          <c:extLst>
            <c:ext xmlns:c16="http://schemas.microsoft.com/office/drawing/2014/chart" uri="{C3380CC4-5D6E-409C-BE32-E72D297353CC}">
              <c16:uniqueId val="{00000000-F162-4C69-ACC9-6A77283D0B01}"/>
            </c:ext>
          </c:extLst>
        </c:ser>
        <c:ser>
          <c:idx val="1"/>
          <c:order val="1"/>
          <c:tx>
            <c:strRef>
              <c:f>Sheet2!$O$33</c:f>
              <c:strCache>
                <c:ptCount val="1"/>
                <c:pt idx="0">
                  <c:v>Count of Mã</c:v>
                </c:pt>
              </c:strCache>
            </c:strRef>
          </c:tx>
          <c:spPr>
            <a:solidFill>
              <a:schemeClr val="accent1">
                <a:tint val="77000"/>
              </a:schemeClr>
            </a:solidFill>
            <a:ln>
              <a:noFill/>
            </a:ln>
            <a:effectLst/>
          </c:spPr>
          <c:invertIfNegative val="0"/>
          <c:cat>
            <c:strRef>
              <c:f>Sheet2!$M$34:$M$38</c:f>
              <c:strCache>
                <c:ptCount val="4"/>
                <c:pt idx="0">
                  <c:v>Chieu</c:v>
                </c:pt>
                <c:pt idx="1">
                  <c:v>Sang</c:v>
                </c:pt>
                <c:pt idx="2">
                  <c:v>Toi</c:v>
                </c:pt>
                <c:pt idx="3">
                  <c:v>Trua</c:v>
                </c:pt>
              </c:strCache>
            </c:strRef>
          </c:cat>
          <c:val>
            <c:numRef>
              <c:f>Sheet2!$O$34:$O$38</c:f>
              <c:numCache>
                <c:formatCode>General</c:formatCode>
                <c:ptCount val="4"/>
                <c:pt idx="0">
                  <c:v>58</c:v>
                </c:pt>
                <c:pt idx="1">
                  <c:v>103</c:v>
                </c:pt>
                <c:pt idx="2">
                  <c:v>57</c:v>
                </c:pt>
                <c:pt idx="3">
                  <c:v>82</c:v>
                </c:pt>
              </c:numCache>
            </c:numRef>
          </c:val>
          <c:extLst>
            <c:ext xmlns:c16="http://schemas.microsoft.com/office/drawing/2014/chart" uri="{C3380CC4-5D6E-409C-BE32-E72D297353CC}">
              <c16:uniqueId val="{00000001-F162-4C69-ACC9-6A77283D0B01}"/>
            </c:ext>
          </c:extLst>
        </c:ser>
        <c:dLbls>
          <c:showLegendKey val="0"/>
          <c:showVal val="0"/>
          <c:showCatName val="0"/>
          <c:showSerName val="0"/>
          <c:showPercent val="0"/>
          <c:showBubbleSize val="0"/>
        </c:dLbls>
        <c:gapWidth val="182"/>
        <c:axId val="659280064"/>
        <c:axId val="659278984"/>
      </c:barChart>
      <c:catAx>
        <c:axId val="65928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9278984"/>
        <c:crosses val="autoZero"/>
        <c:auto val="1"/>
        <c:lblAlgn val="ctr"/>
        <c:lblOffset val="100"/>
        <c:noMultiLvlLbl val="0"/>
      </c:catAx>
      <c:valAx>
        <c:axId val="659278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928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[Dataset_SS14_Bai4.xlsx]Sheet2!PivotTable1</c:name>
    <c:fmtId val="2"/>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vi-VN"/>
              <a:t>Xu hướng Doanh thu theo Ngày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Sheet2!$A$2:$A$41</c:f>
              <c:strCache>
                <c:ptCount val="39"/>
                <c:pt idx="0">
                  <c:v>12/1/2024</c:v>
                </c:pt>
                <c:pt idx="1">
                  <c:v>12/2/2024</c:v>
                </c:pt>
                <c:pt idx="2">
                  <c:v>12/3/2024</c:v>
                </c:pt>
                <c:pt idx="3">
                  <c:v>12/4/2024</c:v>
                </c:pt>
                <c:pt idx="4">
                  <c:v>12/5/2024</c:v>
                </c:pt>
                <c:pt idx="5">
                  <c:v>12/6/2024</c:v>
                </c:pt>
                <c:pt idx="6">
                  <c:v>12/7/2024</c:v>
                </c:pt>
                <c:pt idx="7">
                  <c:v>12/8/2024</c:v>
                </c:pt>
                <c:pt idx="8">
                  <c:v>12/9/2024</c:v>
                </c:pt>
                <c:pt idx="9">
                  <c:v>12/10/2024</c:v>
                </c:pt>
                <c:pt idx="10">
                  <c:v>12/11/2024</c:v>
                </c:pt>
                <c:pt idx="11">
                  <c:v>1/12/2024</c:v>
                </c:pt>
                <c:pt idx="12">
                  <c:v>2/12/2024</c:v>
                </c:pt>
                <c:pt idx="13">
                  <c:v>3/12/2024</c:v>
                </c:pt>
                <c:pt idx="14">
                  <c:v>4/12/2024</c:v>
                </c:pt>
                <c:pt idx="15">
                  <c:v>5/12/2024</c:v>
                </c:pt>
                <c:pt idx="16">
                  <c:v>6/12/2024</c:v>
                </c:pt>
                <c:pt idx="17">
                  <c:v>7/12/2024</c:v>
                </c:pt>
                <c:pt idx="18">
                  <c:v>8/12/2024</c:v>
                </c:pt>
                <c:pt idx="19">
                  <c:v>9/12/2024</c:v>
                </c:pt>
                <c:pt idx="20">
                  <c:v>10/12/2024</c:v>
                </c:pt>
                <c:pt idx="21">
                  <c:v>11/12/2024</c:v>
                </c:pt>
                <c:pt idx="22">
                  <c:v>12/12/2024</c:v>
                </c:pt>
                <c:pt idx="23">
                  <c:v>13/12/2024</c:v>
                </c:pt>
                <c:pt idx="24">
                  <c:v>14/12/2024</c:v>
                </c:pt>
                <c:pt idx="25">
                  <c:v>15/12/2024</c:v>
                </c:pt>
                <c:pt idx="26">
                  <c:v>16/12/2024</c:v>
                </c:pt>
                <c:pt idx="27">
                  <c:v>17/12/2024</c:v>
                </c:pt>
                <c:pt idx="28">
                  <c:v>18/12/2024</c:v>
                </c:pt>
                <c:pt idx="29">
                  <c:v>19/12/2024</c:v>
                </c:pt>
                <c:pt idx="30">
                  <c:v>20/12/2024</c:v>
                </c:pt>
                <c:pt idx="31">
                  <c:v>21/12/2024</c:v>
                </c:pt>
                <c:pt idx="32">
                  <c:v>22/12/2024</c:v>
                </c:pt>
                <c:pt idx="33">
                  <c:v>23/12/2024</c:v>
                </c:pt>
                <c:pt idx="34">
                  <c:v>24/12/2024</c:v>
                </c:pt>
                <c:pt idx="35">
                  <c:v>25/12/2024</c:v>
                </c:pt>
                <c:pt idx="36">
                  <c:v>26/12/2024</c:v>
                </c:pt>
                <c:pt idx="37">
                  <c:v>27/12/2024</c:v>
                </c:pt>
                <c:pt idx="38">
                  <c:v>28/12/2024</c:v>
                </c:pt>
              </c:strCache>
            </c:strRef>
          </c:cat>
          <c:val>
            <c:numRef>
              <c:f>Sheet2!$B$2:$B$41</c:f>
              <c:numCache>
                <c:formatCode>General</c:formatCode>
                <c:ptCount val="39"/>
                <c:pt idx="0">
                  <c:v>441312</c:v>
                </c:pt>
                <c:pt idx="1">
                  <c:v>118962</c:v>
                </c:pt>
                <c:pt idx="2">
                  <c:v>482078</c:v>
                </c:pt>
                <c:pt idx="3">
                  <c:v>473000</c:v>
                </c:pt>
                <c:pt idx="4">
                  <c:v>134000</c:v>
                </c:pt>
                <c:pt idx="5">
                  <c:v>268000</c:v>
                </c:pt>
                <c:pt idx="6">
                  <c:v>87321</c:v>
                </c:pt>
                <c:pt idx="7">
                  <c:v>501111</c:v>
                </c:pt>
                <c:pt idx="8">
                  <c:v>783118</c:v>
                </c:pt>
                <c:pt idx="9">
                  <c:v>229000</c:v>
                </c:pt>
                <c:pt idx="10">
                  <c:v>257906</c:v>
                </c:pt>
                <c:pt idx="11">
                  <c:v>311874</c:v>
                </c:pt>
                <c:pt idx="12">
                  <c:v>41000</c:v>
                </c:pt>
                <c:pt idx="13">
                  <c:v>710011</c:v>
                </c:pt>
                <c:pt idx="14">
                  <c:v>326218</c:v>
                </c:pt>
                <c:pt idx="15">
                  <c:v>819005</c:v>
                </c:pt>
                <c:pt idx="16">
                  <c:v>632943</c:v>
                </c:pt>
                <c:pt idx="17">
                  <c:v>506776</c:v>
                </c:pt>
                <c:pt idx="18">
                  <c:v>278252</c:v>
                </c:pt>
                <c:pt idx="19">
                  <c:v>281000</c:v>
                </c:pt>
                <c:pt idx="20">
                  <c:v>600000</c:v>
                </c:pt>
                <c:pt idx="21">
                  <c:v>450671</c:v>
                </c:pt>
                <c:pt idx="22">
                  <c:v>1114554</c:v>
                </c:pt>
                <c:pt idx="23">
                  <c:v>1424153</c:v>
                </c:pt>
                <c:pt idx="24">
                  <c:v>846324</c:v>
                </c:pt>
                <c:pt idx="25">
                  <c:v>926627</c:v>
                </c:pt>
                <c:pt idx="26">
                  <c:v>731727</c:v>
                </c:pt>
                <c:pt idx="27">
                  <c:v>649159</c:v>
                </c:pt>
                <c:pt idx="28">
                  <c:v>411433</c:v>
                </c:pt>
                <c:pt idx="29">
                  <c:v>1158642</c:v>
                </c:pt>
                <c:pt idx="30">
                  <c:v>698000</c:v>
                </c:pt>
                <c:pt idx="31">
                  <c:v>1311775</c:v>
                </c:pt>
                <c:pt idx="32">
                  <c:v>664184</c:v>
                </c:pt>
                <c:pt idx="33">
                  <c:v>590922</c:v>
                </c:pt>
                <c:pt idx="34">
                  <c:v>822669</c:v>
                </c:pt>
                <c:pt idx="35">
                  <c:v>648689</c:v>
                </c:pt>
                <c:pt idx="36">
                  <c:v>365793</c:v>
                </c:pt>
                <c:pt idx="37">
                  <c:v>946504</c:v>
                </c:pt>
                <c:pt idx="38">
                  <c:v>388446</c:v>
                </c:pt>
              </c:numCache>
            </c:numRef>
          </c:val>
          <c:smooth val="0"/>
          <c:extLst>
            <c:ext xmlns:c16="http://schemas.microsoft.com/office/drawing/2014/chart" uri="{C3380CC4-5D6E-409C-BE32-E72D297353CC}">
              <c16:uniqueId val="{00000000-726A-47F9-9D93-A449940FFC78}"/>
            </c:ext>
          </c:extLst>
        </c:ser>
        <c:dLbls>
          <c:dLblPos val="t"/>
          <c:showLegendKey val="0"/>
          <c:showVal val="1"/>
          <c:showCatName val="0"/>
          <c:showSerName val="0"/>
          <c:showPercent val="0"/>
          <c:showBubbleSize val="0"/>
        </c:dLbls>
        <c:smooth val="0"/>
        <c:axId val="651414816"/>
        <c:axId val="651411936"/>
      </c:lineChart>
      <c:catAx>
        <c:axId val="65141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1411936"/>
        <c:crosses val="autoZero"/>
        <c:auto val="1"/>
        <c:lblAlgn val="ctr"/>
        <c:lblOffset val="100"/>
        <c:noMultiLvlLbl val="0"/>
      </c:catAx>
      <c:valAx>
        <c:axId val="651411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141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[Dataset_SS14_Bai4.xlsx]Sheet2!PivotTable2</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Doanh thu theo Cửa hàng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Sheet2!$B$63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Sheet2!$A$64:$A$69</c:f>
              <c:strCache>
                <c:ptCount val="5"/>
                <c:pt idx="0">
                  <c:v>  Cau Giay </c:v>
                </c:pt>
                <c:pt idx="1">
                  <c:v>  Hoan Kiem </c:v>
                </c:pt>
                <c:pt idx="2">
                  <c:v>  Hai Ba Trung </c:v>
                </c:pt>
                <c:pt idx="3">
                  <c:v>  Dong Da </c:v>
                </c:pt>
                <c:pt idx="4">
                  <c:v>  Ba Dinh </c:v>
                </c:pt>
              </c:strCache>
            </c:strRef>
          </c:cat>
          <c:val>
            <c:numRef>
              <c:f>Sheet2!$B$64:$B$69</c:f>
              <c:numCache>
                <c:formatCode>General</c:formatCode>
                <c:ptCount val="5"/>
                <c:pt idx="0">
                  <c:v>5274923</c:v>
                </c:pt>
                <c:pt idx="1">
                  <c:v>4927991</c:v>
                </c:pt>
                <c:pt idx="2">
                  <c:v>4233515</c:v>
                </c:pt>
                <c:pt idx="3">
                  <c:v>4043363</c:v>
                </c:pt>
                <c:pt idx="4">
                  <c:v>3953367</c:v>
                </c:pt>
              </c:numCache>
            </c:numRef>
          </c:val>
          <c:extLst>
            <c:ext xmlns:c16="http://schemas.microsoft.com/office/drawing/2014/chart" uri="{C3380CC4-5D6E-409C-BE32-E72D297353CC}">
              <c16:uniqueId val="{00000000-2FE7-4716-BA4D-E3D9DAA96623}"/>
            </c:ext>
          </c:extLst>
        </c:ser>
        <c:dLbls>
          <c:dLblPos val="outEnd"/>
          <c:showLegendKey val="0"/>
          <c:showVal val="1"/>
          <c:showCatName val="0"/>
          <c:showSerName val="0"/>
          <c:showPercent val="0"/>
          <c:showBubbleSize val="0"/>
        </c:dLbls>
        <c:gapWidth val="219"/>
        <c:overlap val="-27"/>
        <c:axId val="527060688"/>
        <c:axId val="528615480"/>
      </c:barChart>
      <c:catAx>
        <c:axId val="52706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8615480"/>
        <c:crosses val="autoZero"/>
        <c:auto val="1"/>
        <c:lblAlgn val="ctr"/>
        <c:lblOffset val="100"/>
        <c:noMultiLvlLbl val="0"/>
      </c:catAx>
      <c:valAx>
        <c:axId val="528615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706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[Dataset_SS14_Bai4.xlsx]Sheet2!PivotTable3</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vi-VN"/>
              <a:t>Cơ cấu Doanh thu theo Loại đồ</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Sheet2!$N$1</c:f>
              <c:strCache>
                <c:ptCount val="1"/>
                <c:pt idx="0">
                  <c:v>Total</c:v>
                </c:pt>
              </c:strCache>
            </c:strRef>
          </c:tx>
          <c:dPt>
            <c:idx val="0"/>
            <c:bubble3D val="0"/>
            <c:spPr>
              <a:solidFill>
                <a:schemeClr val="accent1">
                  <a:shade val="44000"/>
                </a:schemeClr>
              </a:solidFill>
              <a:ln w="19050">
                <a:solidFill>
                  <a:schemeClr val="lt1"/>
                </a:solidFill>
              </a:ln>
              <a:effectLst/>
            </c:spPr>
          </c:dPt>
          <c:dPt>
            <c:idx val="1"/>
            <c:bubble3D val="0"/>
            <c:spPr>
              <a:solidFill>
                <a:schemeClr val="accent1">
                  <a:shade val="58000"/>
                </a:schemeClr>
              </a:solidFill>
              <a:ln w="19050">
                <a:solidFill>
                  <a:schemeClr val="lt1"/>
                </a:solidFill>
              </a:ln>
              <a:effectLst/>
            </c:spPr>
          </c:dPt>
          <c:dPt>
            <c:idx val="2"/>
            <c:bubble3D val="0"/>
            <c:spPr>
              <a:solidFill>
                <a:schemeClr val="accent1">
                  <a:shade val="72000"/>
                </a:schemeClr>
              </a:solidFill>
              <a:ln w="19050">
                <a:solidFill>
                  <a:schemeClr val="lt1"/>
                </a:solidFill>
              </a:ln>
              <a:effectLst/>
            </c:spPr>
          </c:dPt>
          <c:dPt>
            <c:idx val="3"/>
            <c:bubble3D val="0"/>
            <c:spPr>
              <a:solidFill>
                <a:schemeClr val="accent1">
                  <a:shade val="86000"/>
                </a:schemeClr>
              </a:solidFill>
              <a:ln w="19050">
                <a:solidFill>
                  <a:schemeClr val="lt1"/>
                </a:solidFill>
              </a:ln>
              <a:effectLst/>
            </c:spPr>
          </c:dPt>
          <c:dPt>
            <c:idx val="4"/>
            <c:bubble3D val="0"/>
            <c:spPr>
              <a:solidFill>
                <a:schemeClr val="accent1"/>
              </a:solidFill>
              <a:ln w="19050">
                <a:solidFill>
                  <a:schemeClr val="lt1"/>
                </a:solidFill>
              </a:ln>
              <a:effectLst/>
            </c:spPr>
          </c:dPt>
          <c:dPt>
            <c:idx val="5"/>
            <c:bubble3D val="0"/>
            <c:spPr>
              <a:solidFill>
                <a:schemeClr val="accent1">
                  <a:tint val="86000"/>
                </a:schemeClr>
              </a:solidFill>
              <a:ln w="19050">
                <a:solidFill>
                  <a:schemeClr val="lt1"/>
                </a:solidFill>
              </a:ln>
              <a:effectLst/>
            </c:spPr>
          </c:dPt>
          <c:dPt>
            <c:idx val="6"/>
            <c:bubble3D val="0"/>
            <c:spPr>
              <a:solidFill>
                <a:schemeClr val="accent1">
                  <a:tint val="72000"/>
                </a:schemeClr>
              </a:solidFill>
              <a:ln w="19050">
                <a:solidFill>
                  <a:schemeClr val="lt1"/>
                </a:solidFill>
              </a:ln>
              <a:effectLst/>
            </c:spPr>
          </c:dPt>
          <c:dPt>
            <c:idx val="7"/>
            <c:bubble3D val="0"/>
            <c:spPr>
              <a:solidFill>
                <a:schemeClr val="accent1">
                  <a:tint val="58000"/>
                </a:schemeClr>
              </a:solidFill>
              <a:ln w="19050">
                <a:solidFill>
                  <a:schemeClr val="lt1"/>
                </a:solidFill>
              </a:ln>
              <a:effectLst/>
            </c:spPr>
          </c:dPt>
          <c:dPt>
            <c:idx val="8"/>
            <c:bubble3D val="0"/>
            <c:spPr>
              <a:solidFill>
                <a:schemeClr val="accent1">
                  <a:tint val="44000"/>
                </a:schemeClr>
              </a:solidFill>
              <a:ln w="19050">
                <a:solidFill>
                  <a:schemeClr val="lt1"/>
                </a:solidFill>
              </a:ln>
              <a:effectLst/>
            </c:spPr>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Sheet2!$M$2:$M$11</c:f>
              <c:strCache>
                <c:ptCount val="9"/>
                <c:pt idx="0">
                  <c:v>Banh</c:v>
                </c:pt>
                <c:pt idx="1">
                  <c:v>Ca phe</c:v>
                </c:pt>
                <c:pt idx="2">
                  <c:v>Do an</c:v>
                </c:pt>
                <c:pt idx="3">
                  <c:v>Food</c:v>
                </c:pt>
                <c:pt idx="4">
                  <c:v>Juice</c:v>
                </c:pt>
                <c:pt idx="5">
                  <c:v>Nuoc ep</c:v>
                </c:pt>
                <c:pt idx="6">
                  <c:v>Sinh to</c:v>
                </c:pt>
                <c:pt idx="7">
                  <c:v>Smoothie</c:v>
                </c:pt>
                <c:pt idx="8">
                  <c:v>Tra</c:v>
                </c:pt>
              </c:strCache>
            </c:strRef>
          </c:cat>
          <c:val>
            <c:numRef>
              <c:f>Sheet2!$N$2:$N$11</c:f>
              <c:numCache>
                <c:formatCode>General</c:formatCode>
                <c:ptCount val="9"/>
                <c:pt idx="0">
                  <c:v>987922</c:v>
                </c:pt>
                <c:pt idx="1">
                  <c:v>10510957</c:v>
                </c:pt>
                <c:pt idx="2">
                  <c:v>699796</c:v>
                </c:pt>
                <c:pt idx="3">
                  <c:v>1187881</c:v>
                </c:pt>
                <c:pt idx="4">
                  <c:v>474767</c:v>
                </c:pt>
                <c:pt idx="5">
                  <c:v>1278799</c:v>
                </c:pt>
                <c:pt idx="6">
                  <c:v>1376678</c:v>
                </c:pt>
                <c:pt idx="7">
                  <c:v>1575235</c:v>
                </c:pt>
                <c:pt idx="8">
                  <c:v>4341124</c:v>
                </c:pt>
              </c:numCache>
            </c:numRef>
          </c:val>
          <c:extLst>
            <c:ext xmlns:c16="http://schemas.microsoft.com/office/drawing/2014/chart" uri="{C3380CC4-5D6E-409C-BE32-E72D297353CC}">
              <c16:uniqueId val="{00000000-4765-4DFE-AC10-DD89DFC1B3E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[Dataset_SS14_Bai4.xlsx]Sheet2!PivotTable4</c:name>
    <c:fmtId val="0"/>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Doanh thu theo Khung giờ</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Sheet2!$N$33</c:f>
              <c:strCache>
                <c:ptCount val="1"/>
                <c:pt idx="0">
                  <c:v>Sum of Doanh Thu</c:v>
                </c:pt>
              </c:strCache>
            </c:strRef>
          </c:tx>
          <c:spPr>
            <a:solidFill>
              <a:schemeClr val="accent1">
                <a:shade val="76000"/>
              </a:schemeClr>
            </a:solidFill>
            <a:ln>
              <a:noFill/>
            </a:ln>
            <a:effectLst/>
          </c:spPr>
          <c:invertIfNegative val="0"/>
          <c:cat>
            <c:strRef>
              <c:f>Sheet2!$M$34:$M$38</c:f>
              <c:strCache>
                <c:ptCount val="4"/>
                <c:pt idx="0">
                  <c:v>Chieu</c:v>
                </c:pt>
                <c:pt idx="1">
                  <c:v>Sang</c:v>
                </c:pt>
                <c:pt idx="2">
                  <c:v>Toi</c:v>
                </c:pt>
                <c:pt idx="3">
                  <c:v>Trua</c:v>
                </c:pt>
              </c:strCache>
            </c:strRef>
          </c:cat>
          <c:val>
            <c:numRef>
              <c:f>Sheet2!$N$34:$N$38</c:f>
              <c:numCache>
                <c:formatCode>General</c:formatCode>
                <c:ptCount val="4"/>
                <c:pt idx="0">
                  <c:v>4285908</c:v>
                </c:pt>
                <c:pt idx="1">
                  <c:v>8332711</c:v>
                </c:pt>
                <c:pt idx="2">
                  <c:v>3983501</c:v>
                </c:pt>
                <c:pt idx="3">
                  <c:v>5831039</c:v>
                </c:pt>
              </c:numCache>
            </c:numRef>
          </c:val>
          <c:extLst>
            <c:ext xmlns:c16="http://schemas.microsoft.com/office/drawing/2014/chart" uri="{C3380CC4-5D6E-409C-BE32-E72D297353CC}">
              <c16:uniqueId val="{00000000-25B0-454D-9777-D185836E786E}"/>
            </c:ext>
          </c:extLst>
        </c:ser>
        <c:ser>
          <c:idx val="1"/>
          <c:order val="1"/>
          <c:tx>
            <c:strRef>
              <c:f>Sheet2!$O$33</c:f>
              <c:strCache>
                <c:ptCount val="1"/>
                <c:pt idx="0">
                  <c:v>Count of Mã</c:v>
                </c:pt>
              </c:strCache>
            </c:strRef>
          </c:tx>
          <c:spPr>
            <a:solidFill>
              <a:schemeClr val="accent1">
                <a:tint val="77000"/>
              </a:schemeClr>
            </a:solidFill>
            <a:ln>
              <a:noFill/>
            </a:ln>
            <a:effectLst/>
          </c:spPr>
          <c:invertIfNegative val="0"/>
          <c:cat>
            <c:strRef>
              <c:f>Sheet2!$M$34:$M$38</c:f>
              <c:strCache>
                <c:ptCount val="4"/>
                <c:pt idx="0">
                  <c:v>Chieu</c:v>
                </c:pt>
                <c:pt idx="1">
                  <c:v>Sang</c:v>
                </c:pt>
                <c:pt idx="2">
                  <c:v>Toi</c:v>
                </c:pt>
                <c:pt idx="3">
                  <c:v>Trua</c:v>
                </c:pt>
              </c:strCache>
            </c:strRef>
          </c:cat>
          <c:val>
            <c:numRef>
              <c:f>Sheet2!$O$34:$O$38</c:f>
              <c:numCache>
                <c:formatCode>General</c:formatCode>
                <c:ptCount val="4"/>
                <c:pt idx="0">
                  <c:v>58</c:v>
                </c:pt>
                <c:pt idx="1">
                  <c:v>103</c:v>
                </c:pt>
                <c:pt idx="2">
                  <c:v>57</c:v>
                </c:pt>
                <c:pt idx="3">
                  <c:v>82</c:v>
                </c:pt>
              </c:numCache>
            </c:numRef>
          </c:val>
          <c:extLst>
            <c:ext xmlns:c16="http://schemas.microsoft.com/office/drawing/2014/chart" uri="{C3380CC4-5D6E-409C-BE32-E72D297353CC}">
              <c16:uniqueId val="{00000001-25B0-454D-9777-D185836E786E}"/>
            </c:ext>
          </c:extLst>
        </c:ser>
        <c:dLbls>
          <c:showLegendKey val="0"/>
          <c:showVal val="0"/>
          <c:showCatName val="0"/>
          <c:showSerName val="0"/>
          <c:showPercent val="0"/>
          <c:showBubbleSize val="0"/>
        </c:dLbls>
        <c:gapWidth val="182"/>
        <c:axId val="659280064"/>
        <c:axId val="659278984"/>
      </c:barChart>
      <c:catAx>
        <c:axId val="65928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9278984"/>
        <c:crosses val="autoZero"/>
        <c:auto val="1"/>
        <c:lblAlgn val="ctr"/>
        <c:lblOffset val="100"/>
        <c:noMultiLvlLbl val="0"/>
      </c:catAx>
      <c:valAx>
        <c:axId val="659278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659280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xdr:rowOff>
    </xdr:from>
    <xdr:to>
      <xdr:col>10</xdr:col>
      <xdr:colOff>0</xdr:colOff>
      <xdr:row>20</xdr:row>
      <xdr:rowOff>1</xdr:rowOff>
    </xdr:to>
    <xdr:graphicFrame macro="">
      <xdr:nvGraphicFramePr>
        <xdr:cNvPr id="2" name="Chart 1">
          <a:extLst>
            <a:ext uri="{FF2B5EF4-FFF2-40B4-BE49-F238E27FC236}">
              <a16:creationId xmlns:a16="http://schemas.microsoft.com/office/drawing/2014/main" id="{C45C718C-CE80-4405-BA65-435F2816D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10</xdr:col>
      <xdr:colOff>0</xdr:colOff>
      <xdr:row>36</xdr:row>
      <xdr:rowOff>1</xdr:rowOff>
    </xdr:to>
    <xdr:graphicFrame macro="">
      <xdr:nvGraphicFramePr>
        <xdr:cNvPr id="3" name="Chart 2">
          <a:extLst>
            <a:ext uri="{FF2B5EF4-FFF2-40B4-BE49-F238E27FC236}">
              <a16:creationId xmlns:a16="http://schemas.microsoft.com/office/drawing/2014/main" id="{1CC4D369-94E6-4B40-BDA3-63C87EE190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5</xdr:row>
      <xdr:rowOff>0</xdr:rowOff>
    </xdr:from>
    <xdr:to>
      <xdr:col>21</xdr:col>
      <xdr:colOff>0</xdr:colOff>
      <xdr:row>20</xdr:row>
      <xdr:rowOff>0</xdr:rowOff>
    </xdr:to>
    <xdr:graphicFrame macro="">
      <xdr:nvGraphicFramePr>
        <xdr:cNvPr id="4" name="Chart 3">
          <a:extLst>
            <a:ext uri="{FF2B5EF4-FFF2-40B4-BE49-F238E27FC236}">
              <a16:creationId xmlns:a16="http://schemas.microsoft.com/office/drawing/2014/main" id="{1CBADFB1-C29F-4585-B53D-A6861B1C6D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21</xdr:row>
      <xdr:rowOff>0</xdr:rowOff>
    </xdr:from>
    <xdr:to>
      <xdr:col>21</xdr:col>
      <xdr:colOff>0</xdr:colOff>
      <xdr:row>36</xdr:row>
      <xdr:rowOff>0</xdr:rowOff>
    </xdr:to>
    <xdr:graphicFrame macro="">
      <xdr:nvGraphicFramePr>
        <xdr:cNvPr id="5" name="Chart 4">
          <a:extLst>
            <a:ext uri="{FF2B5EF4-FFF2-40B4-BE49-F238E27FC236}">
              <a16:creationId xmlns:a16="http://schemas.microsoft.com/office/drawing/2014/main" id="{13F5C12B-2412-43BA-BA2C-94476CFAF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603250</xdr:colOff>
      <xdr:row>37</xdr:row>
      <xdr:rowOff>0</xdr:rowOff>
    </xdr:from>
    <xdr:to>
      <xdr:col>7</xdr:col>
      <xdr:colOff>0</xdr:colOff>
      <xdr:row>50</xdr:row>
      <xdr:rowOff>47625</xdr:rowOff>
    </xdr:to>
    <mc:AlternateContent xmlns:mc="http://schemas.openxmlformats.org/markup-compatibility/2006">
      <mc:Choice xmlns:a14="http://schemas.microsoft.com/office/drawing/2010/main" Requires="a14">
        <xdr:graphicFrame macro="">
          <xdr:nvGraphicFramePr>
            <xdr:cNvPr id="8" name="Cửa Hàng 1">
              <a:extLst>
                <a:ext uri="{FF2B5EF4-FFF2-40B4-BE49-F238E27FC236}">
                  <a16:creationId xmlns:a16="http://schemas.microsoft.com/office/drawing/2014/main" id="{D60E4F3F-7AF2-450C-BA9B-8FCC945977A7}"/>
                </a:ext>
              </a:extLst>
            </xdr:cNvPr>
            <xdr:cNvGraphicFramePr/>
          </xdr:nvGraphicFramePr>
          <xdr:xfrm>
            <a:off x="0" y="0"/>
            <a:ext cx="0" cy="0"/>
          </xdr:xfrm>
          <a:graphic>
            <a:graphicData uri="http://schemas.microsoft.com/office/drawing/2010/slicer">
              <sle:slicer xmlns:sle="http://schemas.microsoft.com/office/drawing/2010/slicer" name="Cửa Hàng 1"/>
            </a:graphicData>
          </a:graphic>
        </xdr:graphicFrame>
      </mc:Choice>
      <mc:Fallback>
        <xdr:sp macro="" textlink="">
          <xdr:nvSpPr>
            <xdr:cNvPr id="0" name=""/>
            <xdr:cNvSpPr>
              <a:spLocks noTextEdit="1"/>
            </xdr:cNvSpPr>
          </xdr:nvSpPr>
          <xdr:spPr>
            <a:xfrm>
              <a:off x="2444750" y="7048500"/>
              <a:ext cx="185208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613832</xdr:colOff>
      <xdr:row>37</xdr:row>
      <xdr:rowOff>0</xdr:rowOff>
    </xdr:from>
    <xdr:to>
      <xdr:col>12</xdr:col>
      <xdr:colOff>10582</xdr:colOff>
      <xdr:row>50</xdr:row>
      <xdr:rowOff>47625</xdr:rowOff>
    </xdr:to>
    <mc:AlternateContent xmlns:mc="http://schemas.openxmlformats.org/markup-compatibility/2006">
      <mc:Choice xmlns:a14="http://schemas.microsoft.com/office/drawing/2010/main" Requires="a14">
        <xdr:graphicFrame macro="">
          <xdr:nvGraphicFramePr>
            <xdr:cNvPr id="9" name="Loai_Do 1">
              <a:extLst>
                <a:ext uri="{FF2B5EF4-FFF2-40B4-BE49-F238E27FC236}">
                  <a16:creationId xmlns:a16="http://schemas.microsoft.com/office/drawing/2014/main" id="{A7EA10D6-4572-46BA-8F94-709366D9FD4B}"/>
                </a:ext>
              </a:extLst>
            </xdr:cNvPr>
            <xdr:cNvGraphicFramePr/>
          </xdr:nvGraphicFramePr>
          <xdr:xfrm>
            <a:off x="0" y="0"/>
            <a:ext cx="0" cy="0"/>
          </xdr:xfrm>
          <a:graphic>
            <a:graphicData uri="http://schemas.microsoft.com/office/drawing/2010/slicer">
              <sle:slicer xmlns:sle="http://schemas.microsoft.com/office/drawing/2010/slicer" name="Loai_Do 1"/>
            </a:graphicData>
          </a:graphic>
        </xdr:graphicFrame>
      </mc:Choice>
      <mc:Fallback>
        <xdr:sp macro="" textlink="">
          <xdr:nvSpPr>
            <xdr:cNvPr id="0" name=""/>
            <xdr:cNvSpPr>
              <a:spLocks noTextEdit="1"/>
            </xdr:cNvSpPr>
          </xdr:nvSpPr>
          <xdr:spPr>
            <a:xfrm>
              <a:off x="5524499" y="7048500"/>
              <a:ext cx="1852083"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37</xdr:row>
      <xdr:rowOff>0</xdr:rowOff>
    </xdr:from>
    <xdr:to>
      <xdr:col>17</xdr:col>
      <xdr:colOff>0</xdr:colOff>
      <xdr:row>50</xdr:row>
      <xdr:rowOff>47625</xdr:rowOff>
    </xdr:to>
    <mc:AlternateContent xmlns:mc="http://schemas.openxmlformats.org/markup-compatibility/2006">
      <mc:Choice xmlns:a14="http://schemas.microsoft.com/office/drawing/2010/main" Requires="a14">
        <xdr:graphicFrame macro="">
          <xdr:nvGraphicFramePr>
            <xdr:cNvPr id="10" name="Khung Giờ 1">
              <a:extLst>
                <a:ext uri="{FF2B5EF4-FFF2-40B4-BE49-F238E27FC236}">
                  <a16:creationId xmlns:a16="http://schemas.microsoft.com/office/drawing/2014/main" id="{D8037DDE-1EA1-41C3-903B-A91F32CD46D4}"/>
                </a:ext>
              </a:extLst>
            </xdr:cNvPr>
            <xdr:cNvGraphicFramePr/>
          </xdr:nvGraphicFramePr>
          <xdr:xfrm>
            <a:off x="0" y="0"/>
            <a:ext cx="0" cy="0"/>
          </xdr:xfrm>
          <a:graphic>
            <a:graphicData uri="http://schemas.microsoft.com/office/drawing/2010/slicer">
              <sle:slicer xmlns:sle="http://schemas.microsoft.com/office/drawing/2010/slicer" name="Khung Giờ 1"/>
            </a:graphicData>
          </a:graphic>
        </xdr:graphicFrame>
      </mc:Choice>
      <mc:Fallback>
        <xdr:sp macro="" textlink="">
          <xdr:nvSpPr>
            <xdr:cNvPr id="0" name=""/>
            <xdr:cNvSpPr>
              <a:spLocks noTextEdit="1"/>
            </xdr:cNvSpPr>
          </xdr:nvSpPr>
          <xdr:spPr>
            <a:xfrm>
              <a:off x="8593667" y="7048500"/>
              <a:ext cx="18415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1152524</xdr:colOff>
      <xdr:row>0</xdr:row>
      <xdr:rowOff>0</xdr:rowOff>
    </xdr:from>
    <xdr:to>
      <xdr:col>11</xdr:col>
      <xdr:colOff>0</xdr:colOff>
      <xdr:row>15</xdr:row>
      <xdr:rowOff>9525</xdr:rowOff>
    </xdr:to>
    <xdr:graphicFrame macro="">
      <xdr:nvGraphicFramePr>
        <xdr:cNvPr id="3" name="Chart 2">
          <a:extLst>
            <a:ext uri="{FF2B5EF4-FFF2-40B4-BE49-F238E27FC236}">
              <a16:creationId xmlns:a16="http://schemas.microsoft.com/office/drawing/2014/main" id="{6BA65C93-E639-9230-2C93-AC79BE94E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55</xdr:row>
      <xdr:rowOff>190499</xdr:rowOff>
    </xdr:from>
    <xdr:to>
      <xdr:col>11</xdr:col>
      <xdr:colOff>0</xdr:colOff>
      <xdr:row>71</xdr:row>
      <xdr:rowOff>0</xdr:rowOff>
    </xdr:to>
    <xdr:graphicFrame macro="">
      <xdr:nvGraphicFramePr>
        <xdr:cNvPr id="4" name="Chart 3">
          <a:extLst>
            <a:ext uri="{FF2B5EF4-FFF2-40B4-BE49-F238E27FC236}">
              <a16:creationId xmlns:a16="http://schemas.microsoft.com/office/drawing/2014/main" id="{CB231FD3-DE04-F706-F046-CE3FEAD1BF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1076324</xdr:colOff>
      <xdr:row>0</xdr:row>
      <xdr:rowOff>0</xdr:rowOff>
    </xdr:from>
    <xdr:to>
      <xdr:col>22</xdr:col>
      <xdr:colOff>609599</xdr:colOff>
      <xdr:row>15</xdr:row>
      <xdr:rowOff>0</xdr:rowOff>
    </xdr:to>
    <xdr:graphicFrame macro="">
      <xdr:nvGraphicFramePr>
        <xdr:cNvPr id="5" name="Chart 4">
          <a:extLst>
            <a:ext uri="{FF2B5EF4-FFF2-40B4-BE49-F238E27FC236}">
              <a16:creationId xmlns:a16="http://schemas.microsoft.com/office/drawing/2014/main" id="{49CE14AA-6075-0EFE-71C8-C110361DFF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31</xdr:row>
      <xdr:rowOff>0</xdr:rowOff>
    </xdr:from>
    <xdr:to>
      <xdr:col>24</xdr:col>
      <xdr:colOff>0</xdr:colOff>
      <xdr:row>46</xdr:row>
      <xdr:rowOff>0</xdr:rowOff>
    </xdr:to>
    <xdr:graphicFrame macro="">
      <xdr:nvGraphicFramePr>
        <xdr:cNvPr id="6" name="Chart 5">
          <a:extLst>
            <a:ext uri="{FF2B5EF4-FFF2-40B4-BE49-F238E27FC236}">
              <a16:creationId xmlns:a16="http://schemas.microsoft.com/office/drawing/2014/main" id="{6CBA8EE9-9299-632B-2077-4357943E1B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16</xdr:row>
      <xdr:rowOff>0</xdr:rowOff>
    </xdr:from>
    <xdr:to>
      <xdr:col>5</xdr:col>
      <xdr:colOff>0</xdr:colOff>
      <xdr:row>29</xdr:row>
      <xdr:rowOff>47625</xdr:rowOff>
    </xdr:to>
    <mc:AlternateContent xmlns:mc="http://schemas.openxmlformats.org/markup-compatibility/2006">
      <mc:Choice xmlns:a14="http://schemas.microsoft.com/office/drawing/2010/main" Requires="a14">
        <xdr:graphicFrame macro="">
          <xdr:nvGraphicFramePr>
            <xdr:cNvPr id="7" name="Cửa Hàng">
              <a:extLst>
                <a:ext uri="{FF2B5EF4-FFF2-40B4-BE49-F238E27FC236}">
                  <a16:creationId xmlns:a16="http://schemas.microsoft.com/office/drawing/2014/main" id="{A928E5F0-98DA-D3AD-0D38-33CD03E50B1E}"/>
                </a:ext>
              </a:extLst>
            </xdr:cNvPr>
            <xdr:cNvGraphicFramePr/>
          </xdr:nvGraphicFramePr>
          <xdr:xfrm>
            <a:off x="0" y="0"/>
            <a:ext cx="0" cy="0"/>
          </xdr:xfrm>
          <a:graphic>
            <a:graphicData uri="http://schemas.microsoft.com/office/drawing/2010/slicer">
              <sle:slicer xmlns:sle="http://schemas.microsoft.com/office/drawing/2010/slicer" name="Cửa Hàng"/>
            </a:graphicData>
          </a:graphic>
        </xdr:graphicFrame>
      </mc:Choice>
      <mc:Fallback>
        <xdr:sp macro="" textlink="">
          <xdr:nvSpPr>
            <xdr:cNvPr id="0" name=""/>
            <xdr:cNvSpPr>
              <a:spLocks noTextEdit="1"/>
            </xdr:cNvSpPr>
          </xdr:nvSpPr>
          <xdr:spPr>
            <a:xfrm>
              <a:off x="3167063" y="3048000"/>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30</xdr:row>
      <xdr:rowOff>9525</xdr:rowOff>
    </xdr:from>
    <xdr:to>
      <xdr:col>8</xdr:col>
      <xdr:colOff>9525</xdr:colOff>
      <xdr:row>43</xdr:row>
      <xdr:rowOff>57150</xdr:rowOff>
    </xdr:to>
    <mc:AlternateContent xmlns:mc="http://schemas.openxmlformats.org/markup-compatibility/2006">
      <mc:Choice xmlns:a14="http://schemas.microsoft.com/office/drawing/2010/main" Requires="a14">
        <xdr:graphicFrame macro="">
          <xdr:nvGraphicFramePr>
            <xdr:cNvPr id="8" name="Loai_Do">
              <a:extLst>
                <a:ext uri="{FF2B5EF4-FFF2-40B4-BE49-F238E27FC236}">
                  <a16:creationId xmlns:a16="http://schemas.microsoft.com/office/drawing/2014/main" id="{4E4160D4-3CDB-F5C9-5FEB-1FB212C3B1DA}"/>
                </a:ext>
              </a:extLst>
            </xdr:cNvPr>
            <xdr:cNvGraphicFramePr/>
          </xdr:nvGraphicFramePr>
          <xdr:xfrm>
            <a:off x="0" y="0"/>
            <a:ext cx="0" cy="0"/>
          </xdr:xfrm>
          <a:graphic>
            <a:graphicData uri="http://schemas.microsoft.com/office/drawing/2010/slicer">
              <sle:slicer xmlns:sle="http://schemas.microsoft.com/office/drawing/2010/slicer" name="Loai_Do"/>
            </a:graphicData>
          </a:graphic>
        </xdr:graphicFrame>
      </mc:Choice>
      <mc:Fallback>
        <xdr:sp macro="" textlink="">
          <xdr:nvSpPr>
            <xdr:cNvPr id="0" name=""/>
            <xdr:cNvSpPr>
              <a:spLocks noTextEdit="1"/>
            </xdr:cNvSpPr>
          </xdr:nvSpPr>
          <xdr:spPr>
            <a:xfrm>
              <a:off x="4998244" y="5724525"/>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16</xdr:row>
      <xdr:rowOff>0</xdr:rowOff>
    </xdr:from>
    <xdr:to>
      <xdr:col>11</xdr:col>
      <xdr:colOff>0</xdr:colOff>
      <xdr:row>29</xdr:row>
      <xdr:rowOff>47625</xdr:rowOff>
    </xdr:to>
    <mc:AlternateContent xmlns:mc="http://schemas.openxmlformats.org/markup-compatibility/2006">
      <mc:Choice xmlns:a14="http://schemas.microsoft.com/office/drawing/2010/main" Requires="a14">
        <xdr:graphicFrame macro="">
          <xdr:nvGraphicFramePr>
            <xdr:cNvPr id="9" name="Khung Giờ">
              <a:extLst>
                <a:ext uri="{FF2B5EF4-FFF2-40B4-BE49-F238E27FC236}">
                  <a16:creationId xmlns:a16="http://schemas.microsoft.com/office/drawing/2014/main" id="{AA66D927-7633-7F14-D5A3-F5610B6DD10C}"/>
                </a:ext>
              </a:extLst>
            </xdr:cNvPr>
            <xdr:cNvGraphicFramePr/>
          </xdr:nvGraphicFramePr>
          <xdr:xfrm>
            <a:off x="0" y="0"/>
            <a:ext cx="0" cy="0"/>
          </xdr:xfrm>
          <a:graphic>
            <a:graphicData uri="http://schemas.microsoft.com/office/drawing/2010/slicer">
              <sle:slicer xmlns:sle="http://schemas.microsoft.com/office/drawing/2010/slicer" name="Khung Giờ"/>
            </a:graphicData>
          </a:graphic>
        </xdr:graphicFrame>
      </mc:Choice>
      <mc:Fallback>
        <xdr:sp macro="" textlink="">
          <xdr:nvSpPr>
            <xdr:cNvPr id="0" name=""/>
            <xdr:cNvSpPr>
              <a:spLocks noTextEdit="1"/>
            </xdr:cNvSpPr>
          </xdr:nvSpPr>
          <xdr:spPr>
            <a:xfrm>
              <a:off x="6810375" y="3048000"/>
              <a:ext cx="1821656"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 refreshedDate="46052.344231249997" createdVersion="8" refreshedVersion="8" minRefreshableVersion="3" recordCount="300" xr:uid="{F2D33909-B97F-4372-A880-5AAD01E8B844}">
  <cacheSource type="worksheet">
    <worksheetSource ref="A1:M301" sheet="Sheet1"/>
  </cacheSource>
  <cacheFields count="15">
    <cacheField name="Mã" numFmtId="0">
      <sharedItems/>
    </cacheField>
    <cacheField name="Cửa Hàng" numFmtId="0">
      <sharedItems count="5">
        <s v="  Ba Dinh "/>
        <s v="  Hai Ba Trung "/>
        <s v="  Hoan Kiem "/>
        <s v="  Cau Giay "/>
        <s v="  Dong Da "/>
      </sharedItems>
    </cacheField>
    <cacheField name="Mã NV" numFmtId="0">
      <sharedItems/>
    </cacheField>
    <cacheField name="Ten_SP" numFmtId="0">
      <sharedItems count="22">
        <s v="Cold Brew"/>
        <s v="Sinh to dau"/>
        <s v="Banh mi"/>
        <s v="Nuoc ep cam"/>
        <s v="Tra dao"/>
        <s v="Nuoc ep tao"/>
        <s v="Espresso"/>
        <s v="Americano"/>
        <s v="Sandwich"/>
        <s v="Ca phe sua da"/>
        <s v="Tra sua tran chau"/>
        <s v="Sinh to xoai"/>
        <s v="Bac xiu"/>
        <s v="Matcha Latte"/>
        <s v="Sinh to bo"/>
        <s v="Latte"/>
        <s v="Tra vai"/>
        <s v="Croissant"/>
        <s v="Mocha"/>
        <s v="Cappuccino"/>
        <s v="Tra chanh"/>
        <s v="Caramel Macchiato"/>
      </sharedItems>
    </cacheField>
    <cacheField name="Loai_Do" numFmtId="0">
      <sharedItems count="9">
        <s v="Ca phe"/>
        <s v="Smoothie"/>
        <s v="Do an"/>
        <s v="Nuoc ep"/>
        <s v="Tra"/>
        <s v="Banh"/>
        <s v="Sinh to"/>
        <s v="Food"/>
        <s v="Juice"/>
      </sharedItems>
    </cacheField>
    <cacheField name="Don_Gia" numFmtId="0">
      <sharedItems/>
    </cacheField>
    <cacheField name="So_Luong" numFmtId="0">
      <sharedItems containsSemiMixedTypes="0" containsString="0" containsNumber="1" containsInteger="1" minValue="1" maxValue="4"/>
    </cacheField>
    <cacheField name="Đơn Giá  Chuẩn" numFmtId="0">
      <sharedItems containsSemiMixedTypes="0" containsString="0" containsNumber="1" containsInteger="1" minValue="28000" maxValue="62000"/>
    </cacheField>
    <cacheField name="Doanh Thu" numFmtId="0">
      <sharedItems containsSemiMixedTypes="0" containsString="0" containsNumber="1" containsInteger="1" minValue="28000" maxValue="223048" count="139">
        <n v="54818"/>
        <n v="147000"/>
        <n v="33000"/>
        <n v="122793"/>
        <n v="41000"/>
        <n v="78516"/>
        <n v="35000"/>
        <n v="223048"/>
        <n v="78000"/>
        <n v="72000"/>
        <n v="50000"/>
        <n v="84000"/>
        <n v="43798"/>
        <n v="88000"/>
        <n v="132000"/>
        <n v="108000"/>
        <n v="156000"/>
        <n v="54000"/>
        <n v="117000"/>
        <n v="41839"/>
        <n v="83620"/>
        <n v="44845"/>
        <n v="57000"/>
        <n v="41787"/>
        <n v="28000"/>
        <n v="160000"/>
        <n v="94000"/>
        <n v="104000"/>
        <n v="70000"/>
        <n v="114000"/>
        <n v="39386"/>
        <n v="52000"/>
        <n v="105000"/>
        <n v="29997"/>
        <n v="90000"/>
        <n v="30000"/>
        <n v="120000"/>
        <n v="108698"/>
        <n v="50151"/>
        <n v="40000"/>
        <n v="38884"/>
        <n v="138000"/>
        <n v="58918"/>
        <n v="48609"/>
        <n v="38000"/>
        <n v="77234"/>
        <n v="49000"/>
        <n v="96000"/>
        <n v="39962"/>
        <n v="29000"/>
        <n v="48000"/>
        <n v="31469"/>
        <n v="34218"/>
        <n v="44000"/>
        <n v="119145"/>
        <n v="76000"/>
        <n v="56000"/>
        <n v="33321"/>
        <n v="40433"/>
        <n v="34000"/>
        <n v="150000"/>
        <n v="51000"/>
        <n v="44836"/>
        <n v="98000"/>
        <n v="43000"/>
        <n v="49840"/>
        <n v="102000"/>
        <n v="59548"/>
        <n v="156057"/>
        <n v="162000"/>
        <n v="47000"/>
        <n v="34922"/>
        <n v="118122"/>
        <n v="151776"/>
        <n v="45000"/>
        <n v="107616"/>
        <n v="82000"/>
        <n v="62000"/>
        <n v="39000"/>
        <n v="199288"/>
        <n v="123906"/>
        <n v="41252"/>
        <n v="172000"/>
        <n v="99000"/>
        <n v="100000"/>
        <n v="40776"/>
        <n v="109380"/>
        <n v="171000"/>
        <n v="46000"/>
        <n v="55000"/>
        <n v="168000"/>
        <n v="80000"/>
        <n v="45118"/>
        <n v="159000"/>
        <n v="152000"/>
        <n v="114980"/>
        <n v="164000"/>
        <n v="40744"/>
        <n v="34239"/>
        <n v="144000"/>
        <n v="110000"/>
        <n v="34389"/>
        <n v="39051"/>
        <n v="66000"/>
        <n v="161181"/>
        <n v="109899"/>
        <n v="34040"/>
        <n v="99969"/>
        <n v="123720"/>
        <n v="153000"/>
        <n v="95494"/>
        <n v="40184"/>
        <n v="106000"/>
        <n v="36000"/>
        <n v="101656"/>
        <n v="51518"/>
        <n v="36410"/>
        <n v="218480"/>
        <n v="83408"/>
        <n v="172668"/>
        <n v="122456"/>
        <n v="61000"/>
        <n v="47906"/>
        <n v="165000"/>
        <n v="53000"/>
        <n v="38111"/>
        <n v="114144"/>
        <n v="174000"/>
        <n v="39271"/>
        <n v="29141"/>
        <n v="39021"/>
        <n v="44881"/>
        <n v="115084"/>
        <n v="87000"/>
        <n v="119223"/>
        <n v="80634"/>
        <n v="99316"/>
        <n v="38520"/>
        <n v="92000"/>
      </sharedItems>
    </cacheField>
    <cacheField name="Ngay_Ban" numFmtId="165">
      <sharedItems containsSemiMixedTypes="0" containsNonDate="0" containsDate="1" containsString="0" minDate="2024-01-12T00:00:00" maxDate="2024-12-29T00:00:00" count="39">
        <d v="2024-01-12T00:00:00"/>
        <d v="2024-12-05T00:00:00"/>
        <d v="2024-12-04T00:00:00"/>
        <d v="2024-12-26T00:00:00"/>
        <d v="2024-12-25T00:00:00"/>
        <d v="2024-12-17T00:00:00"/>
        <d v="2024-12-19T00:00:00"/>
        <d v="2024-12-27T00:00:00"/>
        <d v="2024-12-08T00:00:00"/>
        <d v="2024-12-18T00:00:00"/>
        <d v="2024-12-28T00:00:00"/>
        <d v="2024-12-15T00:00:00"/>
        <d v="2024-09-12T00:00:00"/>
        <d v="2024-12-06T00:00:00"/>
        <d v="2024-12-13T00:00:00"/>
        <d v="2024-12-24T00:00:00"/>
        <d v="2024-12-21T00:00:00"/>
        <d v="2024-12-22T00:00:00"/>
        <d v="2024-12-16T00:00:00"/>
        <d v="2024-12-11T00:00:00"/>
        <d v="2024-12-14T00:00:00"/>
        <d v="2024-03-12T00:00:00"/>
        <d v="2024-02-12T00:00:00"/>
        <d v="2024-07-12T00:00:00"/>
        <d v="2024-12-12T00:00:00"/>
        <d v="2024-05-12T00:00:00"/>
        <d v="2024-12-09T00:00:00"/>
        <d v="2024-12-02T00:00:00"/>
        <d v="2024-12-10T00:00:00"/>
        <d v="2024-12-07T00:00:00"/>
        <d v="2024-12-03T00:00:00"/>
        <d v="2024-12-20T00:00:00"/>
        <d v="2024-12-23T00:00:00"/>
        <d v="2024-04-12T00:00:00"/>
        <d v="2024-11-12T00:00:00"/>
        <d v="2024-12-01T00:00:00"/>
        <d v="2024-10-12T00:00:00"/>
        <d v="2024-08-12T00:00:00"/>
        <d v="2024-06-12T00:00:00"/>
      </sharedItems>
      <fieldGroup par="14"/>
    </cacheField>
    <cacheField name="Thoi_Gian" numFmtId="0">
      <sharedItems/>
    </cacheField>
    <cacheField name="Khung Giờ" numFmtId="0">
      <sharedItems count="4">
        <s v="Trua"/>
        <s v="Chieu"/>
        <s v="Toi"/>
        <s v="Sang"/>
      </sharedItems>
    </cacheField>
    <cacheField name="Giờ Bán" numFmtId="0">
      <sharedItems containsSemiMixedTypes="0" containsString="0" containsNumber="1" containsInteger="1" minValue="7" maxValue="20"/>
    </cacheField>
    <cacheField name="Days (Ngay_Ban)" numFmtId="0" databaseField="0">
      <fieldGroup base="9">
        <rangePr groupBy="days" startDate="2024-01-12T00:00:00" endDate="2024-12-29T00:00:00"/>
        <groupItems count="368">
          <s v="&lt;1/12/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4"/>
        </groupItems>
      </fieldGroup>
    </cacheField>
    <cacheField name="Months (Ngay_Ban)" numFmtId="0" databaseField="0">
      <fieldGroup base="9">
        <rangePr groupBy="months" startDate="2024-01-12T00:00:00" endDate="2024-12-29T00:00:00"/>
        <groupItems count="14">
          <s v="&lt;1/12/2024"/>
          <s v="Jan"/>
          <s v="Feb"/>
          <s v="Mar"/>
          <s v="Apr"/>
          <s v="May"/>
          <s v="Jun"/>
          <s v="Jul"/>
          <s v="Aug"/>
          <s v="Sep"/>
          <s v="Oct"/>
          <s v="Nov"/>
          <s v="Dec"/>
          <s v="&gt;12/29/2024"/>
        </groupItems>
      </fieldGroup>
    </cacheField>
  </cacheFields>
  <extLst>
    <ext xmlns:x14="http://schemas.microsoft.com/office/spreadsheetml/2009/9/main" uri="{725AE2AE-9491-48be-B2B4-4EB974FC3084}">
      <x14:pivotCacheDefinition pivotCacheId="10058437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 OD0011 "/>
    <x v="0"/>
    <s v="  NV01"/>
    <x v="0"/>
    <x v="0"/>
    <s v="54818"/>
    <n v="1"/>
    <n v="54818"/>
    <x v="0"/>
    <x v="0"/>
    <s v="11:58"/>
    <x v="0"/>
    <n v="11"/>
  </r>
  <r>
    <s v=" OD0027 "/>
    <x v="1"/>
    <s v="  NV03"/>
    <x v="1"/>
    <x v="1"/>
    <s v="49k"/>
    <n v="3"/>
    <n v="49000"/>
    <x v="1"/>
    <x v="1"/>
    <s v="14:43"/>
    <x v="1"/>
    <n v="14"/>
  </r>
  <r>
    <s v=" OD0112 "/>
    <x v="0"/>
    <s v="  NV12"/>
    <x v="2"/>
    <x v="2"/>
    <s v="33k"/>
    <n v="1"/>
    <n v="33000"/>
    <x v="2"/>
    <x v="2"/>
    <s v="11:42"/>
    <x v="0"/>
    <n v="11"/>
  </r>
  <r>
    <s v=" OD0073 "/>
    <x v="2"/>
    <s v="  NV11"/>
    <x v="3"/>
    <x v="3"/>
    <s v="40931"/>
    <n v="3"/>
    <n v="40931"/>
    <x v="3"/>
    <x v="3"/>
    <s v="20:45"/>
    <x v="2"/>
    <n v="20"/>
  </r>
  <r>
    <s v=" OD0203 "/>
    <x v="0"/>
    <s v="  NV01"/>
    <x v="4"/>
    <x v="4"/>
    <s v="41k"/>
    <n v="1"/>
    <n v="41000"/>
    <x v="4"/>
    <x v="4"/>
    <s v="18:45"/>
    <x v="2"/>
    <n v="18"/>
  </r>
  <r>
    <s v=" OD0160 "/>
    <x v="3"/>
    <s v="  NV14"/>
    <x v="5"/>
    <x v="3"/>
    <s v="39258"/>
    <n v="2"/>
    <n v="39258"/>
    <x v="5"/>
    <x v="5"/>
    <s v="18:51"/>
    <x v="2"/>
    <n v="18"/>
  </r>
  <r>
    <s v=" OD0196 "/>
    <x v="1"/>
    <s v="  NV01"/>
    <x v="6"/>
    <x v="0"/>
    <s v="35k"/>
    <n v="1"/>
    <n v="35000"/>
    <x v="6"/>
    <x v="6"/>
    <s v="08:32"/>
    <x v="3"/>
    <n v="8"/>
  </r>
  <r>
    <s v=" OD0036 "/>
    <x v="0"/>
    <s v="  NV02"/>
    <x v="0"/>
    <x v="0"/>
    <s v="55762"/>
    <n v="4"/>
    <n v="55762"/>
    <x v="7"/>
    <x v="7"/>
    <s v="08:37"/>
    <x v="3"/>
    <n v="8"/>
  </r>
  <r>
    <s v=" OD0198 "/>
    <x v="3"/>
    <s v="  NV11"/>
    <x v="2"/>
    <x v="5"/>
    <s v="35.000đ"/>
    <n v="1"/>
    <n v="35000"/>
    <x v="6"/>
    <x v="8"/>
    <s v="14:13"/>
    <x v="1"/>
    <n v="14"/>
  </r>
  <r>
    <s v=" OD0222 "/>
    <x v="4"/>
    <s v="  NV06"/>
    <x v="7"/>
    <x v="0"/>
    <s v="39.000đ"/>
    <n v="2"/>
    <n v="39000"/>
    <x v="8"/>
    <x v="0"/>
    <s v="19:27"/>
    <x v="2"/>
    <n v="19"/>
  </r>
  <r>
    <s v=" OD0103 "/>
    <x v="0"/>
    <s v="  NV11"/>
    <x v="2"/>
    <x v="5"/>
    <s v="36.000"/>
    <n v="2"/>
    <n v="36000"/>
    <x v="9"/>
    <x v="9"/>
    <s v="11:45"/>
    <x v="0"/>
    <n v="11"/>
  </r>
  <r>
    <s v=" OD0162 "/>
    <x v="4"/>
    <s v="  NV07"/>
    <x v="8"/>
    <x v="2"/>
    <s v="50k"/>
    <n v="1"/>
    <n v="50000"/>
    <x v="10"/>
    <x v="10"/>
    <s v="14:33"/>
    <x v="1"/>
    <n v="14"/>
  </r>
  <r>
    <s v=" OD0076 "/>
    <x v="0"/>
    <s v="  NV09"/>
    <x v="9"/>
    <x v="0"/>
    <s v="28.000đ"/>
    <n v="3"/>
    <n v="28000"/>
    <x v="11"/>
    <x v="11"/>
    <s v="07:37"/>
    <x v="3"/>
    <n v="7"/>
  </r>
  <r>
    <s v=" OD0001 "/>
    <x v="1"/>
    <s v="  NV13"/>
    <x v="6"/>
    <x v="0"/>
    <s v="33.000"/>
    <n v="1"/>
    <n v="33000"/>
    <x v="2"/>
    <x v="12"/>
    <s v="13:43"/>
    <x v="0"/>
    <n v="13"/>
  </r>
  <r>
    <s v=" OD0022 "/>
    <x v="2"/>
    <s v="  NV08"/>
    <x v="10"/>
    <x v="4"/>
    <s v="43798"/>
    <n v="1"/>
    <n v="43798"/>
    <x v="12"/>
    <x v="13"/>
    <s v="15:58"/>
    <x v="1"/>
    <n v="15"/>
  </r>
  <r>
    <s v=" OD0086 "/>
    <x v="0"/>
    <s v="  NV05"/>
    <x v="11"/>
    <x v="1"/>
    <s v="44.000"/>
    <n v="2"/>
    <n v="44000"/>
    <x v="13"/>
    <x v="14"/>
    <s v="07:50"/>
    <x v="3"/>
    <n v="7"/>
  </r>
  <r>
    <s v=" OD0253 "/>
    <x v="3"/>
    <s v="  NV04"/>
    <x v="12"/>
    <x v="0"/>
    <s v="33.000"/>
    <n v="4"/>
    <n v="33000"/>
    <x v="14"/>
    <x v="6"/>
    <s v="15:38"/>
    <x v="1"/>
    <n v="15"/>
  </r>
  <r>
    <s v=" OD0130 "/>
    <x v="1"/>
    <s v="  NV12"/>
    <x v="13"/>
    <x v="4"/>
    <s v="54.000"/>
    <n v="2"/>
    <n v="54000"/>
    <x v="15"/>
    <x v="15"/>
    <s v="08:59"/>
    <x v="3"/>
    <n v="8"/>
  </r>
  <r>
    <s v=" OD0030 "/>
    <x v="2"/>
    <s v="  NV05"/>
    <x v="14"/>
    <x v="1"/>
    <s v="50.000"/>
    <n v="1"/>
    <n v="50000"/>
    <x v="10"/>
    <x v="16"/>
    <s v="11:18"/>
    <x v="0"/>
    <n v="11"/>
  </r>
  <r>
    <s v=" OD0043 "/>
    <x v="2"/>
    <s v="  NV09"/>
    <x v="15"/>
    <x v="0"/>
    <s v="52.000đ"/>
    <n v="3"/>
    <n v="52000"/>
    <x v="16"/>
    <x v="17"/>
    <s v="13:06"/>
    <x v="0"/>
    <n v="13"/>
  </r>
  <r>
    <s v=" OD0043 "/>
    <x v="2"/>
    <s v="  NV09"/>
    <x v="15"/>
    <x v="0"/>
    <s v="52.000đ"/>
    <n v="3"/>
    <n v="52000"/>
    <x v="16"/>
    <x v="17"/>
    <s v="13:06"/>
    <x v="0"/>
    <n v="13"/>
  </r>
  <r>
    <s v=" OD0074 "/>
    <x v="0"/>
    <s v="  NV08"/>
    <x v="0"/>
    <x v="0"/>
    <s v="54k"/>
    <n v="1"/>
    <n v="54000"/>
    <x v="17"/>
    <x v="10"/>
    <s v="14:41"/>
    <x v="1"/>
    <n v="14"/>
  </r>
  <r>
    <s v=" OD0252 "/>
    <x v="4"/>
    <s v="  NV04"/>
    <x v="16"/>
    <x v="4"/>
    <s v="39.000đ"/>
    <n v="3"/>
    <n v="39000"/>
    <x v="18"/>
    <x v="5"/>
    <s v="09:23"/>
    <x v="3"/>
    <n v="9"/>
  </r>
  <r>
    <s v=" OD0040 "/>
    <x v="2"/>
    <s v="  NV09"/>
    <x v="17"/>
    <x v="2"/>
    <s v="41839"/>
    <n v="1"/>
    <n v="41839"/>
    <x v="19"/>
    <x v="18"/>
    <s v="10:46"/>
    <x v="3"/>
    <n v="10"/>
  </r>
  <r>
    <s v=" OD0014 "/>
    <x v="1"/>
    <s v="  NV03"/>
    <x v="7"/>
    <x v="0"/>
    <s v="41810"/>
    <n v="2"/>
    <n v="41810"/>
    <x v="20"/>
    <x v="16"/>
    <s v="10:16"/>
    <x v="3"/>
    <n v="10"/>
  </r>
  <r>
    <s v=" OD0070 "/>
    <x v="1"/>
    <s v="  NV08"/>
    <x v="11"/>
    <x v="6"/>
    <s v="44845"/>
    <n v="1"/>
    <n v="44845"/>
    <x v="21"/>
    <x v="11"/>
    <s v="08:06"/>
    <x v="3"/>
    <n v="8"/>
  </r>
  <r>
    <s v=" OD0134 "/>
    <x v="4"/>
    <s v="  NV08"/>
    <x v="18"/>
    <x v="0"/>
    <s v="57.000đ"/>
    <n v="1"/>
    <n v="57000"/>
    <x v="22"/>
    <x v="11"/>
    <s v="19:16"/>
    <x v="2"/>
    <n v="19"/>
  </r>
  <r>
    <s v=" OD0200 "/>
    <x v="2"/>
    <s v="  NV02"/>
    <x v="17"/>
    <x v="2"/>
    <s v="41787"/>
    <n v="1"/>
    <n v="41787"/>
    <x v="23"/>
    <x v="10"/>
    <s v="15:38"/>
    <x v="1"/>
    <n v="15"/>
  </r>
  <r>
    <s v=" OD0132 "/>
    <x v="4"/>
    <s v="  NV06"/>
    <x v="5"/>
    <x v="3"/>
    <s v="41.000đ"/>
    <n v="1"/>
    <n v="41000"/>
    <x v="4"/>
    <x v="9"/>
    <s v="13:34"/>
    <x v="0"/>
    <n v="13"/>
  </r>
  <r>
    <s v=" OD0012 "/>
    <x v="1"/>
    <s v="  NV01"/>
    <x v="9"/>
    <x v="0"/>
    <s v="28.000"/>
    <n v="1"/>
    <n v="28000"/>
    <x v="24"/>
    <x v="11"/>
    <s v="10:25"/>
    <x v="3"/>
    <n v="10"/>
  </r>
  <r>
    <s v=" OD0242 "/>
    <x v="2"/>
    <s v="  NV10"/>
    <x v="17"/>
    <x v="7"/>
    <s v="40k"/>
    <n v="4"/>
    <n v="40000"/>
    <x v="25"/>
    <x v="19"/>
    <s v="11:21"/>
    <x v="0"/>
    <n v="11"/>
  </r>
  <r>
    <s v=" OD0241 "/>
    <x v="4"/>
    <s v="  NV10"/>
    <x v="15"/>
    <x v="0"/>
    <s v="47.000đ"/>
    <n v="2"/>
    <n v="47000"/>
    <x v="26"/>
    <x v="16"/>
    <s v="17:09"/>
    <x v="2"/>
    <n v="17"/>
  </r>
  <r>
    <s v=" OD0013 "/>
    <x v="4"/>
    <s v="  NV08"/>
    <x v="8"/>
    <x v="5"/>
    <s v="50k"/>
    <n v="1"/>
    <n v="50000"/>
    <x v="10"/>
    <x v="13"/>
    <s v="19:16"/>
    <x v="2"/>
    <n v="19"/>
  </r>
  <r>
    <s v=" OD0175 "/>
    <x v="2"/>
    <s v="  NV12"/>
    <x v="8"/>
    <x v="2"/>
    <s v="52.000đ"/>
    <n v="2"/>
    <n v="52000"/>
    <x v="27"/>
    <x v="20"/>
    <s v="07:49"/>
    <x v="3"/>
    <n v="7"/>
  </r>
  <r>
    <s v=" OD0054 "/>
    <x v="3"/>
    <s v="  NV07"/>
    <x v="6"/>
    <x v="0"/>
    <s v="35.000đ"/>
    <n v="2"/>
    <n v="35000"/>
    <x v="28"/>
    <x v="2"/>
    <s v="19:51"/>
    <x v="2"/>
    <n v="19"/>
  </r>
  <r>
    <s v=" OD0217 "/>
    <x v="1"/>
    <s v="  NV10"/>
    <x v="7"/>
    <x v="0"/>
    <s v="38.000"/>
    <n v="3"/>
    <n v="38000"/>
    <x v="29"/>
    <x v="7"/>
    <s v="12:33"/>
    <x v="0"/>
    <n v="12"/>
  </r>
  <r>
    <s v=" OD0191 "/>
    <x v="1"/>
    <s v="  NV15"/>
    <x v="16"/>
    <x v="4"/>
    <s v="39386"/>
    <n v="1"/>
    <n v="39386"/>
    <x v="30"/>
    <x v="21"/>
    <s v="14:23"/>
    <x v="1"/>
    <n v="14"/>
  </r>
  <r>
    <s v=" OD0006 "/>
    <x v="4"/>
    <s v="  NV09"/>
    <x v="0"/>
    <x v="0"/>
    <s v="52.000"/>
    <n v="1"/>
    <n v="52000"/>
    <x v="31"/>
    <x v="19"/>
    <s v="07:17"/>
    <x v="3"/>
    <n v="7"/>
  </r>
  <r>
    <s v=" OD0002 "/>
    <x v="3"/>
    <s v="  NV07"/>
    <x v="12"/>
    <x v="0"/>
    <s v="35.000"/>
    <n v="3"/>
    <n v="35000"/>
    <x v="32"/>
    <x v="13"/>
    <s v="15:23"/>
    <x v="1"/>
    <n v="15"/>
  </r>
  <r>
    <s v=" OD0085 "/>
    <x v="3"/>
    <s v="  NV08"/>
    <x v="9"/>
    <x v="0"/>
    <s v="28k"/>
    <n v="1"/>
    <n v="28000"/>
    <x v="24"/>
    <x v="22"/>
    <s v="17:15"/>
    <x v="2"/>
    <n v="17"/>
  </r>
  <r>
    <s v=" OD0071 "/>
    <x v="4"/>
    <s v="  NV05"/>
    <x v="9"/>
    <x v="0"/>
    <s v="29997"/>
    <n v="1"/>
    <n v="29997"/>
    <x v="33"/>
    <x v="14"/>
    <s v="12:21"/>
    <x v="0"/>
    <n v="12"/>
  </r>
  <r>
    <s v=" OD0053 "/>
    <x v="1"/>
    <s v="  NV03"/>
    <x v="11"/>
    <x v="1"/>
    <s v="45.000"/>
    <n v="2"/>
    <n v="45000"/>
    <x v="34"/>
    <x v="18"/>
    <s v="09:25"/>
    <x v="3"/>
    <n v="9"/>
  </r>
  <r>
    <s v=" OD0020 "/>
    <x v="1"/>
    <s v="  NV15"/>
    <x v="9"/>
    <x v="0"/>
    <s v="30k"/>
    <n v="1"/>
    <n v="30000"/>
    <x v="35"/>
    <x v="11"/>
    <s v="11:47"/>
    <x v="0"/>
    <n v="11"/>
  </r>
  <r>
    <s v=" OD0099 "/>
    <x v="3"/>
    <s v="  NV15"/>
    <x v="13"/>
    <x v="4"/>
    <s v="54.000đ"/>
    <n v="1"/>
    <n v="54000"/>
    <x v="17"/>
    <x v="23"/>
    <s v="09:40"/>
    <x v="3"/>
    <n v="9"/>
  </r>
  <r>
    <s v=" OD0038 "/>
    <x v="3"/>
    <s v="  NV07"/>
    <x v="3"/>
    <x v="8"/>
    <s v="39k"/>
    <n v="2"/>
    <n v="39000"/>
    <x v="8"/>
    <x v="13"/>
    <s v="08:47"/>
    <x v="3"/>
    <n v="8"/>
  </r>
  <r>
    <s v=" OD0262 "/>
    <x v="2"/>
    <s v="  NV10"/>
    <x v="19"/>
    <x v="0"/>
    <s v="47.000đ"/>
    <n v="2"/>
    <n v="47000"/>
    <x v="26"/>
    <x v="4"/>
    <s v="19:43"/>
    <x v="2"/>
    <n v="19"/>
  </r>
  <r>
    <s v=" OD0005 "/>
    <x v="2"/>
    <s v="  NV05"/>
    <x v="6"/>
    <x v="0"/>
    <s v="35.000"/>
    <n v="3"/>
    <n v="35000"/>
    <x v="32"/>
    <x v="14"/>
    <s v="09:29"/>
    <x v="3"/>
    <n v="9"/>
  </r>
  <r>
    <s v=" OD0056 "/>
    <x v="3"/>
    <s v="  NV03"/>
    <x v="16"/>
    <x v="4"/>
    <s v="40.000"/>
    <n v="3"/>
    <n v="40000"/>
    <x v="36"/>
    <x v="17"/>
    <s v="14:24"/>
    <x v="1"/>
    <n v="14"/>
  </r>
  <r>
    <s v=" OD0063 "/>
    <x v="3"/>
    <s v="  NV15"/>
    <x v="0"/>
    <x v="0"/>
    <s v="54349"/>
    <n v="2"/>
    <n v="54349"/>
    <x v="37"/>
    <x v="1"/>
    <s v="09:26"/>
    <x v="3"/>
    <n v="9"/>
  </r>
  <r>
    <s v=" OD0126 "/>
    <x v="1"/>
    <s v="  NV03"/>
    <x v="9"/>
    <x v="0"/>
    <s v="30.000"/>
    <n v="1"/>
    <n v="30000"/>
    <x v="35"/>
    <x v="24"/>
    <s v="08:48"/>
    <x v="3"/>
    <n v="8"/>
  </r>
  <r>
    <s v=" OD0189 "/>
    <x v="3"/>
    <s v="  NV01"/>
    <x v="20"/>
    <x v="4"/>
    <s v="35.000"/>
    <n v="2"/>
    <n v="35000"/>
    <x v="28"/>
    <x v="19"/>
    <s v="10:51"/>
    <x v="3"/>
    <n v="10"/>
  </r>
  <r>
    <s v=" OD0024 "/>
    <x v="0"/>
    <s v="  NV11"/>
    <x v="1"/>
    <x v="6"/>
    <s v="50151"/>
    <n v="1"/>
    <n v="50151"/>
    <x v="38"/>
    <x v="19"/>
    <s v="17:58"/>
    <x v="2"/>
    <n v="17"/>
  </r>
  <r>
    <s v=" OD0192 "/>
    <x v="0"/>
    <s v="  NV13"/>
    <x v="16"/>
    <x v="4"/>
    <s v="40.000đ"/>
    <n v="1"/>
    <n v="40000"/>
    <x v="39"/>
    <x v="25"/>
    <s v="13:22"/>
    <x v="0"/>
    <n v="13"/>
  </r>
  <r>
    <s v=" OD0193 "/>
    <x v="4"/>
    <s v="  NV09"/>
    <x v="3"/>
    <x v="8"/>
    <s v="38884"/>
    <n v="1"/>
    <n v="38884"/>
    <x v="40"/>
    <x v="12"/>
    <s v="12:30"/>
    <x v="0"/>
    <n v="12"/>
  </r>
  <r>
    <s v=" OD0249 "/>
    <x v="3"/>
    <s v="  NV15"/>
    <x v="10"/>
    <x v="4"/>
    <s v="46.000đ"/>
    <n v="3"/>
    <n v="46000"/>
    <x v="41"/>
    <x v="26"/>
    <s v="16:35"/>
    <x v="1"/>
    <n v="16"/>
  </r>
  <r>
    <s v=" OD0273 "/>
    <x v="0"/>
    <s v="  NV05"/>
    <x v="9"/>
    <x v="0"/>
    <s v="29459"/>
    <n v="2"/>
    <n v="29459"/>
    <x v="42"/>
    <x v="16"/>
    <s v="12:50"/>
    <x v="0"/>
    <n v="12"/>
  </r>
  <r>
    <s v=" OD0260 "/>
    <x v="2"/>
    <s v="  NV10"/>
    <x v="19"/>
    <x v="0"/>
    <s v="48609"/>
    <n v="1"/>
    <n v="48609"/>
    <x v="43"/>
    <x v="1"/>
    <s v="08:20"/>
    <x v="3"/>
    <n v="8"/>
  </r>
  <r>
    <s v=" OD0096 "/>
    <x v="4"/>
    <s v="  NV15"/>
    <x v="16"/>
    <x v="4"/>
    <s v="38k"/>
    <n v="1"/>
    <n v="38000"/>
    <x v="44"/>
    <x v="9"/>
    <s v="08:58"/>
    <x v="3"/>
    <n v="8"/>
  </r>
  <r>
    <s v=" OD0071 "/>
    <x v="4"/>
    <s v="  NV05"/>
    <x v="9"/>
    <x v="0"/>
    <s v="29997"/>
    <n v="1"/>
    <n v="29997"/>
    <x v="33"/>
    <x v="14"/>
    <s v="12:21"/>
    <x v="0"/>
    <n v="12"/>
  </r>
  <r>
    <s v=" OD0035 "/>
    <x v="1"/>
    <s v="  NV07"/>
    <x v="16"/>
    <x v="4"/>
    <s v="41.000"/>
    <n v="1"/>
    <n v="41000"/>
    <x v="4"/>
    <x v="27"/>
    <s v="12:20"/>
    <x v="0"/>
    <n v="12"/>
  </r>
  <r>
    <s v=" OD0144 "/>
    <x v="0"/>
    <s v="  NV04"/>
    <x v="4"/>
    <x v="4"/>
    <s v="38617"/>
    <n v="2"/>
    <n v="38617"/>
    <x v="45"/>
    <x v="12"/>
    <s v="16:02"/>
    <x v="1"/>
    <n v="16"/>
  </r>
  <r>
    <s v=" OD0187 "/>
    <x v="4"/>
    <s v="  NV01"/>
    <x v="2"/>
    <x v="5"/>
    <s v="33.000đ"/>
    <n v="1"/>
    <n v="33000"/>
    <x v="2"/>
    <x v="9"/>
    <s v="15:47"/>
    <x v="1"/>
    <n v="15"/>
  </r>
  <r>
    <s v=" OD0127 "/>
    <x v="4"/>
    <s v="  NV09"/>
    <x v="16"/>
    <x v="4"/>
    <s v="41.000"/>
    <n v="1"/>
    <n v="41000"/>
    <x v="4"/>
    <x v="28"/>
    <s v="16:34"/>
    <x v="1"/>
    <n v="16"/>
  </r>
  <r>
    <s v=" OD0226 "/>
    <x v="3"/>
    <s v="  NV04"/>
    <x v="3"/>
    <x v="3"/>
    <s v="41.000"/>
    <n v="1"/>
    <n v="41000"/>
    <x v="4"/>
    <x v="29"/>
    <s v="16:35"/>
    <x v="1"/>
    <n v="16"/>
  </r>
  <r>
    <s v=" OD0214 "/>
    <x v="1"/>
    <s v="  NV01"/>
    <x v="19"/>
    <x v="0"/>
    <s v="49.000đ"/>
    <n v="1"/>
    <n v="49000"/>
    <x v="46"/>
    <x v="1"/>
    <s v="10:19"/>
    <x v="3"/>
    <n v="10"/>
  </r>
  <r>
    <s v=" OD0248 "/>
    <x v="3"/>
    <s v="  NV11"/>
    <x v="1"/>
    <x v="6"/>
    <s v="48.000"/>
    <n v="2"/>
    <n v="48000"/>
    <x v="47"/>
    <x v="11"/>
    <s v="18:49"/>
    <x v="2"/>
    <n v="18"/>
  </r>
  <r>
    <s v=" OD0055 "/>
    <x v="0"/>
    <s v="  NV04"/>
    <x v="16"/>
    <x v="4"/>
    <s v="39962"/>
    <n v="1"/>
    <n v="39962"/>
    <x v="48"/>
    <x v="22"/>
    <s v="10:52"/>
    <x v="3"/>
    <n v="10"/>
  </r>
  <r>
    <s v=" OD0166 "/>
    <x v="2"/>
    <s v="  NV11"/>
    <x v="9"/>
    <x v="0"/>
    <s v="29k"/>
    <n v="1"/>
    <n v="29000"/>
    <x v="49"/>
    <x v="30"/>
    <s v="10:10"/>
    <x v="3"/>
    <n v="10"/>
  </r>
  <r>
    <s v=" OD0271 "/>
    <x v="2"/>
    <s v="  NV10"/>
    <x v="14"/>
    <x v="1"/>
    <s v="48.000"/>
    <n v="1"/>
    <n v="48000"/>
    <x v="50"/>
    <x v="3"/>
    <s v="08:02"/>
    <x v="3"/>
    <n v="8"/>
  </r>
  <r>
    <s v=" OD0033 "/>
    <x v="3"/>
    <s v="  NV06"/>
    <x v="9"/>
    <x v="0"/>
    <s v="31469"/>
    <n v="1"/>
    <n v="31469"/>
    <x v="51"/>
    <x v="24"/>
    <s v="14:50"/>
    <x v="1"/>
    <n v="14"/>
  </r>
  <r>
    <s v=" OD0048 "/>
    <x v="2"/>
    <s v="  NV05"/>
    <x v="14"/>
    <x v="6"/>
    <s v="49.000đ"/>
    <n v="1"/>
    <n v="49000"/>
    <x v="46"/>
    <x v="30"/>
    <s v="13:24"/>
    <x v="0"/>
    <n v="13"/>
  </r>
  <r>
    <s v=" OD0269 "/>
    <x v="0"/>
    <s v="  NV08"/>
    <x v="6"/>
    <x v="0"/>
    <s v="34218"/>
    <n v="1"/>
    <n v="34218"/>
    <x v="52"/>
    <x v="2"/>
    <s v="13:39"/>
    <x v="0"/>
    <n v="13"/>
  </r>
  <r>
    <s v=" OD0037 "/>
    <x v="2"/>
    <s v="  NV15"/>
    <x v="10"/>
    <x v="4"/>
    <s v="44k"/>
    <n v="1"/>
    <n v="44000"/>
    <x v="53"/>
    <x v="1"/>
    <s v="19:29"/>
    <x v="2"/>
    <n v="19"/>
  </r>
  <r>
    <s v=" OD0026 "/>
    <x v="0"/>
    <s v="  NV04"/>
    <x v="3"/>
    <x v="3"/>
    <s v="39715"/>
    <n v="3"/>
    <n v="39715"/>
    <x v="54"/>
    <x v="13"/>
    <s v="10:51"/>
    <x v="3"/>
    <n v="10"/>
  </r>
  <r>
    <s v=" OD0148 "/>
    <x v="3"/>
    <s v="  NV12"/>
    <x v="5"/>
    <x v="8"/>
    <s v="40.000"/>
    <n v="1"/>
    <n v="40000"/>
    <x v="39"/>
    <x v="16"/>
    <s v="08:23"/>
    <x v="3"/>
    <n v="8"/>
  </r>
  <r>
    <s v=" OD0167 "/>
    <x v="2"/>
    <s v="  NV11"/>
    <x v="0"/>
    <x v="0"/>
    <s v="52.000đ"/>
    <n v="1"/>
    <n v="52000"/>
    <x v="31"/>
    <x v="14"/>
    <s v="14:24"/>
    <x v="1"/>
    <n v="14"/>
  </r>
  <r>
    <s v=" OD0194 "/>
    <x v="3"/>
    <s v="  NV12"/>
    <x v="17"/>
    <x v="7"/>
    <s v="38k"/>
    <n v="2"/>
    <n v="38000"/>
    <x v="55"/>
    <x v="7"/>
    <s v="16:36"/>
    <x v="1"/>
    <n v="16"/>
  </r>
  <r>
    <s v=" OD0201 "/>
    <x v="0"/>
    <s v="  NV06"/>
    <x v="12"/>
    <x v="0"/>
    <s v="36.000"/>
    <n v="3"/>
    <n v="36000"/>
    <x v="15"/>
    <x v="24"/>
    <s v="10:04"/>
    <x v="3"/>
    <n v="10"/>
  </r>
  <r>
    <s v=" OD0218 "/>
    <x v="2"/>
    <s v="  NV05"/>
    <x v="0"/>
    <x v="0"/>
    <s v="56.000đ"/>
    <n v="1"/>
    <n v="56000"/>
    <x v="56"/>
    <x v="31"/>
    <s v="13:17"/>
    <x v="0"/>
    <n v="13"/>
  </r>
  <r>
    <s v=" OD0254 "/>
    <x v="3"/>
    <s v="  NV11"/>
    <x v="12"/>
    <x v="0"/>
    <s v="33321"/>
    <n v="1"/>
    <n v="33321"/>
    <x v="57"/>
    <x v="23"/>
    <s v="15:17"/>
    <x v="1"/>
    <n v="15"/>
  </r>
  <r>
    <s v=" OD0146 "/>
    <x v="1"/>
    <s v="  NV03"/>
    <x v="15"/>
    <x v="0"/>
    <s v="49.000"/>
    <n v="1"/>
    <n v="49000"/>
    <x v="46"/>
    <x v="31"/>
    <s v="19:21"/>
    <x v="2"/>
    <n v="19"/>
  </r>
  <r>
    <s v=" OD0231 "/>
    <x v="2"/>
    <s v="  NV12"/>
    <x v="7"/>
    <x v="0"/>
    <s v="40433"/>
    <n v="1"/>
    <n v="40433"/>
    <x v="58"/>
    <x v="9"/>
    <s v="16:04"/>
    <x v="1"/>
    <n v="16"/>
  </r>
  <r>
    <s v=" OD0209 "/>
    <x v="3"/>
    <s v="  NV13"/>
    <x v="19"/>
    <x v="0"/>
    <s v="47.000đ"/>
    <n v="2"/>
    <n v="47000"/>
    <x v="26"/>
    <x v="13"/>
    <s v="19:00"/>
    <x v="2"/>
    <n v="19"/>
  </r>
  <r>
    <s v=" OD0266 "/>
    <x v="1"/>
    <s v="  NV12"/>
    <x v="12"/>
    <x v="0"/>
    <s v="34.000đ"/>
    <n v="1"/>
    <n v="34000"/>
    <x v="59"/>
    <x v="24"/>
    <s v="12:14"/>
    <x v="0"/>
    <n v="12"/>
  </r>
  <r>
    <s v=" OD0234 "/>
    <x v="2"/>
    <s v="  NV13"/>
    <x v="16"/>
    <x v="4"/>
    <s v="38.000"/>
    <n v="1"/>
    <n v="38000"/>
    <x v="44"/>
    <x v="16"/>
    <s v="19:48"/>
    <x v="2"/>
    <n v="19"/>
  </r>
  <r>
    <s v=" OD0060 "/>
    <x v="2"/>
    <s v="  NV07"/>
    <x v="19"/>
    <x v="0"/>
    <s v="50.000"/>
    <n v="3"/>
    <n v="50000"/>
    <x v="60"/>
    <x v="30"/>
    <s v="12:46"/>
    <x v="0"/>
    <n v="12"/>
  </r>
  <r>
    <s v=" OD0220 "/>
    <x v="1"/>
    <s v="  NV15"/>
    <x v="18"/>
    <x v="0"/>
    <s v="57.000"/>
    <n v="1"/>
    <n v="57000"/>
    <x v="22"/>
    <x v="14"/>
    <s v="10:04"/>
    <x v="3"/>
    <n v="10"/>
  </r>
  <r>
    <s v=" OD0067 "/>
    <x v="1"/>
    <s v="  NV11"/>
    <x v="8"/>
    <x v="2"/>
    <s v="51k"/>
    <n v="1"/>
    <n v="51000"/>
    <x v="61"/>
    <x v="18"/>
    <s v="11:13"/>
    <x v="0"/>
    <n v="11"/>
  </r>
  <r>
    <s v=" OD0251 "/>
    <x v="1"/>
    <s v="  NV05"/>
    <x v="11"/>
    <x v="1"/>
    <s v="44836"/>
    <n v="1"/>
    <n v="44836"/>
    <x v="62"/>
    <x v="11"/>
    <s v="14:14"/>
    <x v="1"/>
    <n v="14"/>
  </r>
  <r>
    <s v=" OD0270 "/>
    <x v="0"/>
    <s v="  NV03"/>
    <x v="15"/>
    <x v="0"/>
    <s v="49.000đ"/>
    <n v="2"/>
    <n v="49000"/>
    <x v="63"/>
    <x v="21"/>
    <s v="15:44"/>
    <x v="1"/>
    <n v="15"/>
  </r>
  <r>
    <s v=" OD0263 "/>
    <x v="1"/>
    <s v="  NV07"/>
    <x v="10"/>
    <x v="4"/>
    <s v="43.000"/>
    <n v="1"/>
    <n v="43000"/>
    <x v="64"/>
    <x v="3"/>
    <s v="07:59"/>
    <x v="3"/>
    <n v="7"/>
  </r>
  <r>
    <s v=" OD0118 "/>
    <x v="4"/>
    <s v="  NV14"/>
    <x v="6"/>
    <x v="0"/>
    <s v="35.000đ"/>
    <n v="1"/>
    <n v="35000"/>
    <x v="6"/>
    <x v="26"/>
    <s v="09:00"/>
    <x v="3"/>
    <n v="9"/>
  </r>
  <r>
    <s v=" OD0268 "/>
    <x v="4"/>
    <s v="  NV05"/>
    <x v="4"/>
    <x v="4"/>
    <s v="38.000"/>
    <n v="1"/>
    <n v="38000"/>
    <x v="44"/>
    <x v="12"/>
    <s v="12:04"/>
    <x v="0"/>
    <n v="12"/>
  </r>
  <r>
    <s v=" OD0143 "/>
    <x v="2"/>
    <s v="  NV11"/>
    <x v="15"/>
    <x v="0"/>
    <s v="49840"/>
    <n v="1"/>
    <n v="49840"/>
    <x v="65"/>
    <x v="24"/>
    <s v="07:01"/>
    <x v="3"/>
    <n v="7"/>
  </r>
  <r>
    <s v=" OD0278 "/>
    <x v="3"/>
    <s v="  NV14"/>
    <x v="2"/>
    <x v="7"/>
    <s v="34k"/>
    <n v="3"/>
    <n v="34000"/>
    <x v="66"/>
    <x v="16"/>
    <s v="11:28"/>
    <x v="0"/>
    <n v="11"/>
  </r>
  <r>
    <s v=" OD0072 "/>
    <x v="2"/>
    <s v="  NV01"/>
    <x v="9"/>
    <x v="0"/>
    <s v="29774"/>
    <n v="2"/>
    <n v="29774"/>
    <x v="67"/>
    <x v="21"/>
    <s v="09:28"/>
    <x v="3"/>
    <n v="9"/>
  </r>
  <r>
    <s v=" OD0120 "/>
    <x v="2"/>
    <s v="  NV13"/>
    <x v="13"/>
    <x v="4"/>
    <s v="52.000đ"/>
    <n v="1"/>
    <n v="52000"/>
    <x v="31"/>
    <x v="31"/>
    <s v="20:56"/>
    <x v="2"/>
    <n v="20"/>
  </r>
  <r>
    <s v=" OD0128 "/>
    <x v="4"/>
    <s v="  NV14"/>
    <x v="19"/>
    <x v="0"/>
    <s v="52019"/>
    <n v="3"/>
    <n v="52019"/>
    <x v="68"/>
    <x v="14"/>
    <s v="16:41"/>
    <x v="1"/>
    <n v="16"/>
  </r>
  <r>
    <s v=" OD0159 "/>
    <x v="1"/>
    <s v="  NV09"/>
    <x v="13"/>
    <x v="4"/>
    <s v="54.000"/>
    <n v="3"/>
    <n v="54000"/>
    <x v="69"/>
    <x v="28"/>
    <s v="12:10"/>
    <x v="0"/>
    <n v="12"/>
  </r>
  <r>
    <s v=" OD0202 "/>
    <x v="2"/>
    <s v="  NV03"/>
    <x v="14"/>
    <x v="6"/>
    <s v="47k"/>
    <n v="1"/>
    <n v="47000"/>
    <x v="70"/>
    <x v="17"/>
    <s v="10:09"/>
    <x v="3"/>
    <n v="10"/>
  </r>
  <r>
    <s v=" OD0181 "/>
    <x v="0"/>
    <s v="  NV08"/>
    <x v="2"/>
    <x v="5"/>
    <s v="34922"/>
    <n v="1"/>
    <n v="34922"/>
    <x v="71"/>
    <x v="32"/>
    <s v="18:21"/>
    <x v="2"/>
    <n v="18"/>
  </r>
  <r>
    <s v=" OD0094 "/>
    <x v="4"/>
    <s v="  NV06"/>
    <x v="10"/>
    <x v="4"/>
    <s v="45k"/>
    <n v="2"/>
    <n v="45000"/>
    <x v="34"/>
    <x v="14"/>
    <s v="17:36"/>
    <x v="2"/>
    <n v="17"/>
  </r>
  <r>
    <s v=" OD0009 "/>
    <x v="4"/>
    <s v="  NV04"/>
    <x v="5"/>
    <x v="3"/>
    <s v="39374"/>
    <n v="3"/>
    <n v="39374"/>
    <x v="72"/>
    <x v="15"/>
    <s v="09:11"/>
    <x v="3"/>
    <n v="9"/>
  </r>
  <r>
    <s v=" OD0184 "/>
    <x v="3"/>
    <s v="  NV12"/>
    <x v="14"/>
    <x v="6"/>
    <s v="50592"/>
    <n v="3"/>
    <n v="50592"/>
    <x v="73"/>
    <x v="29"/>
    <s v="09:27"/>
    <x v="3"/>
    <n v="9"/>
  </r>
  <r>
    <s v=" OD0047 "/>
    <x v="4"/>
    <s v="  NV14"/>
    <x v="17"/>
    <x v="5"/>
    <s v="38.000"/>
    <n v="1"/>
    <n v="38000"/>
    <x v="44"/>
    <x v="26"/>
    <s v="14:20"/>
    <x v="1"/>
    <n v="14"/>
  </r>
  <r>
    <s v=" OD0247 "/>
    <x v="0"/>
    <s v="  NV05"/>
    <x v="1"/>
    <x v="6"/>
    <s v="47.000"/>
    <n v="2"/>
    <n v="47000"/>
    <x v="26"/>
    <x v="17"/>
    <s v="09:35"/>
    <x v="3"/>
    <n v="9"/>
  </r>
  <r>
    <s v=" OD0049 "/>
    <x v="2"/>
    <s v="  NV11"/>
    <x v="1"/>
    <x v="6"/>
    <s v="51.000đ"/>
    <n v="1"/>
    <n v="51000"/>
    <x v="61"/>
    <x v="29"/>
    <s v="18:38"/>
    <x v="2"/>
    <n v="18"/>
  </r>
  <r>
    <s v=" OD0170 "/>
    <x v="3"/>
    <s v="  NV09"/>
    <x v="10"/>
    <x v="4"/>
    <s v="45.000đ"/>
    <n v="1"/>
    <n v="45000"/>
    <x v="74"/>
    <x v="18"/>
    <s v="14:26"/>
    <x v="1"/>
    <n v="14"/>
  </r>
  <r>
    <s v=" OD0083 "/>
    <x v="1"/>
    <s v="  NV12"/>
    <x v="2"/>
    <x v="7"/>
    <s v="35872"/>
    <n v="3"/>
    <n v="35872"/>
    <x v="75"/>
    <x v="6"/>
    <s v="14:29"/>
    <x v="1"/>
    <n v="14"/>
  </r>
  <r>
    <s v=" OD0164 "/>
    <x v="1"/>
    <s v="  NV09"/>
    <x v="3"/>
    <x v="8"/>
    <s v="41k"/>
    <n v="2"/>
    <n v="41000"/>
    <x v="76"/>
    <x v="9"/>
    <s v="11:51"/>
    <x v="0"/>
    <n v="11"/>
  </r>
  <r>
    <s v=" OD0207 "/>
    <x v="0"/>
    <s v="  NV05"/>
    <x v="21"/>
    <x v="0"/>
    <s v="62k"/>
    <n v="1"/>
    <n v="62000"/>
    <x v="77"/>
    <x v="24"/>
    <s v="16:30"/>
    <x v="1"/>
    <n v="16"/>
  </r>
  <r>
    <s v=" OD0115 "/>
    <x v="3"/>
    <s v="  NV11"/>
    <x v="3"/>
    <x v="8"/>
    <s v="39.000đ"/>
    <n v="1"/>
    <n v="39000"/>
    <x v="78"/>
    <x v="1"/>
    <s v="09:18"/>
    <x v="3"/>
    <n v="9"/>
  </r>
  <r>
    <s v=" OD0277 "/>
    <x v="1"/>
    <s v="  NV09"/>
    <x v="4"/>
    <x v="4"/>
    <s v="41k"/>
    <n v="2"/>
    <n v="41000"/>
    <x v="76"/>
    <x v="11"/>
    <s v="09:19"/>
    <x v="3"/>
    <n v="9"/>
  </r>
  <r>
    <s v=" OD0206 "/>
    <x v="0"/>
    <s v="  NV03"/>
    <x v="9"/>
    <x v="0"/>
    <s v="29.000đ"/>
    <n v="1"/>
    <n v="29000"/>
    <x v="49"/>
    <x v="29"/>
    <s v="12:16"/>
    <x v="0"/>
    <n v="12"/>
  </r>
  <r>
    <s v=" OD0236 "/>
    <x v="2"/>
    <s v="  NV07"/>
    <x v="19"/>
    <x v="0"/>
    <s v="49822"/>
    <n v="4"/>
    <n v="49822"/>
    <x v="79"/>
    <x v="15"/>
    <s v="17:41"/>
    <x v="2"/>
    <n v="17"/>
  </r>
  <r>
    <s v=" OD0025 "/>
    <x v="0"/>
    <s v="  NV12"/>
    <x v="9"/>
    <x v="0"/>
    <s v="28.000đ"/>
    <n v="1"/>
    <n v="28000"/>
    <x v="24"/>
    <x v="33"/>
    <s v="12:09"/>
    <x v="0"/>
    <n v="12"/>
  </r>
  <r>
    <s v=" OD0044 "/>
    <x v="4"/>
    <s v="  NV11"/>
    <x v="4"/>
    <x v="4"/>
    <s v="41302"/>
    <n v="3"/>
    <n v="41302"/>
    <x v="80"/>
    <x v="34"/>
    <s v="07:24"/>
    <x v="3"/>
    <n v="7"/>
  </r>
  <r>
    <s v=" OD0018 "/>
    <x v="3"/>
    <s v="  NV09"/>
    <x v="18"/>
    <x v="0"/>
    <s v="54k"/>
    <n v="1"/>
    <n v="54000"/>
    <x v="17"/>
    <x v="14"/>
    <s v="19:25"/>
    <x v="2"/>
    <n v="19"/>
  </r>
  <r>
    <s v=" OD0133 "/>
    <x v="4"/>
    <s v="  NV14"/>
    <x v="11"/>
    <x v="1"/>
    <s v="44k"/>
    <n v="3"/>
    <n v="44000"/>
    <x v="14"/>
    <x v="29"/>
    <s v="08:55"/>
    <x v="3"/>
    <n v="8"/>
  </r>
  <r>
    <s v=" OD0246 "/>
    <x v="4"/>
    <s v="  NV03"/>
    <x v="5"/>
    <x v="8"/>
    <s v="41252"/>
    <n v="1"/>
    <n v="41252"/>
    <x v="81"/>
    <x v="8"/>
    <s v="15:21"/>
    <x v="1"/>
    <n v="15"/>
  </r>
  <r>
    <s v=" OD0084 "/>
    <x v="4"/>
    <s v="  NV10"/>
    <x v="17"/>
    <x v="5"/>
    <s v="38.000"/>
    <n v="2"/>
    <n v="38000"/>
    <x v="55"/>
    <x v="16"/>
    <s v="19:59"/>
    <x v="2"/>
    <n v="19"/>
  </r>
  <r>
    <s v=" OD0276 "/>
    <x v="4"/>
    <s v="  NV13"/>
    <x v="20"/>
    <x v="4"/>
    <s v="35.000"/>
    <n v="2"/>
    <n v="35000"/>
    <x v="28"/>
    <x v="24"/>
    <s v="12:00"/>
    <x v="0"/>
    <n v="12"/>
  </r>
  <r>
    <s v=" OD0113 "/>
    <x v="1"/>
    <s v="  NV03"/>
    <x v="10"/>
    <x v="4"/>
    <s v="43.000"/>
    <n v="4"/>
    <n v="43000"/>
    <x v="82"/>
    <x v="33"/>
    <s v="09:26"/>
    <x v="3"/>
    <n v="9"/>
  </r>
  <r>
    <s v=" OD0223 "/>
    <x v="3"/>
    <s v="  NV15"/>
    <x v="2"/>
    <x v="5"/>
    <s v="33.000"/>
    <n v="3"/>
    <n v="33000"/>
    <x v="83"/>
    <x v="20"/>
    <s v="12:58"/>
    <x v="0"/>
    <n v="12"/>
  </r>
  <r>
    <s v=" OD0178 "/>
    <x v="1"/>
    <s v="  NV08"/>
    <x v="1"/>
    <x v="1"/>
    <s v="50k"/>
    <n v="2"/>
    <n v="50000"/>
    <x v="84"/>
    <x v="6"/>
    <s v="09:29"/>
    <x v="3"/>
    <n v="9"/>
  </r>
  <r>
    <s v=" OD0141 "/>
    <x v="1"/>
    <s v="  NV01"/>
    <x v="2"/>
    <x v="5"/>
    <s v="34k"/>
    <n v="1"/>
    <n v="34000"/>
    <x v="59"/>
    <x v="34"/>
    <s v="13:41"/>
    <x v="0"/>
    <n v="13"/>
  </r>
  <r>
    <s v=" OD0180 "/>
    <x v="2"/>
    <s v="  NV03"/>
    <x v="8"/>
    <x v="2"/>
    <s v="51.000"/>
    <n v="1"/>
    <n v="51000"/>
    <x v="61"/>
    <x v="9"/>
    <s v="08:16"/>
    <x v="3"/>
    <n v="8"/>
  </r>
  <r>
    <s v=" OD0088 "/>
    <x v="1"/>
    <s v="  NV12"/>
    <x v="17"/>
    <x v="7"/>
    <s v="40776"/>
    <n v="1"/>
    <n v="40776"/>
    <x v="85"/>
    <x v="24"/>
    <s v="15:55"/>
    <x v="1"/>
    <n v="15"/>
  </r>
  <r>
    <s v=" OD0021 "/>
    <x v="4"/>
    <s v="  NV02"/>
    <x v="1"/>
    <x v="6"/>
    <s v="51.000đ"/>
    <n v="1"/>
    <n v="51000"/>
    <x v="61"/>
    <x v="6"/>
    <s v="18:51"/>
    <x v="2"/>
    <n v="18"/>
  </r>
  <r>
    <s v=" OD0219 "/>
    <x v="0"/>
    <s v="  NV06"/>
    <x v="18"/>
    <x v="0"/>
    <s v="54690"/>
    <n v="2"/>
    <n v="54690"/>
    <x v="86"/>
    <x v="35"/>
    <s v="12:24"/>
    <x v="0"/>
    <n v="12"/>
  </r>
  <r>
    <s v=" OD0136 "/>
    <x v="4"/>
    <s v="  NV05"/>
    <x v="7"/>
    <x v="0"/>
    <s v="39.000đ"/>
    <n v="1"/>
    <n v="39000"/>
    <x v="78"/>
    <x v="36"/>
    <s v="12:03"/>
    <x v="0"/>
    <n v="12"/>
  </r>
  <r>
    <s v=" OD0235 "/>
    <x v="4"/>
    <s v="  NV05"/>
    <x v="20"/>
    <x v="4"/>
    <s v="35k"/>
    <n v="1"/>
    <n v="35000"/>
    <x v="6"/>
    <x v="4"/>
    <s v="19:07"/>
    <x v="2"/>
    <n v="19"/>
  </r>
  <r>
    <s v=" OD0028 "/>
    <x v="1"/>
    <s v="  NV06"/>
    <x v="5"/>
    <x v="3"/>
    <s v="39.000"/>
    <n v="1"/>
    <n v="39000"/>
    <x v="78"/>
    <x v="6"/>
    <s v="16:51"/>
    <x v="1"/>
    <n v="16"/>
  </r>
  <r>
    <s v=" OD0092 "/>
    <x v="0"/>
    <s v="  NV06"/>
    <x v="18"/>
    <x v="0"/>
    <s v="57k"/>
    <n v="2"/>
    <n v="57000"/>
    <x v="29"/>
    <x v="18"/>
    <s v="12:56"/>
    <x v="0"/>
    <n v="12"/>
  </r>
  <r>
    <s v=" OD0089 "/>
    <x v="4"/>
    <s v="  NV02"/>
    <x v="0"/>
    <x v="0"/>
    <s v="52.000đ"/>
    <n v="1"/>
    <n v="52000"/>
    <x v="31"/>
    <x v="11"/>
    <s v="08:34"/>
    <x v="3"/>
    <n v="8"/>
  </r>
  <r>
    <s v=" OD0123 "/>
    <x v="3"/>
    <s v="  NV12"/>
    <x v="21"/>
    <x v="0"/>
    <s v="57k"/>
    <n v="3"/>
    <n v="57000"/>
    <x v="87"/>
    <x v="21"/>
    <s v="16:10"/>
    <x v="1"/>
    <n v="16"/>
  </r>
  <r>
    <s v=" OD0183 "/>
    <x v="0"/>
    <s v="  NV01"/>
    <x v="10"/>
    <x v="4"/>
    <s v="46.000đ"/>
    <n v="1"/>
    <n v="46000"/>
    <x v="88"/>
    <x v="36"/>
    <s v="08:40"/>
    <x v="3"/>
    <n v="8"/>
  </r>
  <r>
    <s v=" OD0017 "/>
    <x v="3"/>
    <s v="  NV14"/>
    <x v="5"/>
    <x v="3"/>
    <s v="38.000đ"/>
    <n v="1"/>
    <n v="38000"/>
    <x v="44"/>
    <x v="20"/>
    <s v="17:57"/>
    <x v="2"/>
    <n v="17"/>
  </r>
  <r>
    <s v=" OD0205 "/>
    <x v="0"/>
    <s v="  NV08"/>
    <x v="4"/>
    <x v="4"/>
    <s v="41.000đ"/>
    <n v="2"/>
    <n v="41000"/>
    <x v="76"/>
    <x v="1"/>
    <s v="07:38"/>
    <x v="3"/>
    <n v="7"/>
  </r>
  <r>
    <s v=" OD0171 "/>
    <x v="0"/>
    <s v="  NV10"/>
    <x v="0"/>
    <x v="0"/>
    <s v="55.000đ"/>
    <n v="1"/>
    <n v="55000"/>
    <x v="89"/>
    <x v="14"/>
    <s v="16:14"/>
    <x v="1"/>
    <n v="16"/>
  </r>
  <r>
    <s v=" OD0257 "/>
    <x v="2"/>
    <s v="  NV01"/>
    <x v="0"/>
    <x v="0"/>
    <s v="56.000đ"/>
    <n v="3"/>
    <n v="56000"/>
    <x v="90"/>
    <x v="33"/>
    <s v="08:31"/>
    <x v="3"/>
    <n v="8"/>
  </r>
  <r>
    <s v=" OD0221 "/>
    <x v="2"/>
    <s v="  NV08"/>
    <x v="16"/>
    <x v="4"/>
    <s v="40.000đ"/>
    <n v="2"/>
    <n v="40000"/>
    <x v="91"/>
    <x v="32"/>
    <s v="16:44"/>
    <x v="1"/>
    <n v="16"/>
  </r>
  <r>
    <s v=" OD0121 "/>
    <x v="0"/>
    <s v="  NV10"/>
    <x v="17"/>
    <x v="2"/>
    <s v="40k"/>
    <n v="1"/>
    <n v="40000"/>
    <x v="39"/>
    <x v="5"/>
    <s v="09:12"/>
    <x v="3"/>
    <n v="9"/>
  </r>
  <r>
    <s v=" OD0061 "/>
    <x v="3"/>
    <s v="  NV01"/>
    <x v="10"/>
    <x v="4"/>
    <s v="45118"/>
    <n v="1"/>
    <n v="45118"/>
    <x v="92"/>
    <x v="15"/>
    <s v="12:03"/>
    <x v="0"/>
    <n v="12"/>
  </r>
  <r>
    <s v=" OD0244 "/>
    <x v="4"/>
    <s v="  NV11"/>
    <x v="18"/>
    <x v="0"/>
    <s v="53k"/>
    <n v="3"/>
    <n v="53000"/>
    <x v="93"/>
    <x v="12"/>
    <s v="08:14"/>
    <x v="3"/>
    <n v="8"/>
  </r>
  <r>
    <s v=" OD0031 "/>
    <x v="1"/>
    <s v="  NV10"/>
    <x v="10"/>
    <x v="4"/>
    <s v="46k"/>
    <n v="1"/>
    <n v="46000"/>
    <x v="88"/>
    <x v="7"/>
    <s v="14:09"/>
    <x v="1"/>
    <n v="14"/>
  </r>
  <r>
    <s v=" OD0264 "/>
    <x v="3"/>
    <s v="  NV01"/>
    <x v="0"/>
    <x v="0"/>
    <s v="54k"/>
    <n v="1"/>
    <n v="54000"/>
    <x v="17"/>
    <x v="14"/>
    <s v="18:46"/>
    <x v="2"/>
    <n v="18"/>
  </r>
  <r>
    <s v=" OD0018 "/>
    <x v="3"/>
    <s v="  NV09"/>
    <x v="18"/>
    <x v="0"/>
    <s v="54k"/>
    <n v="1"/>
    <n v="54000"/>
    <x v="17"/>
    <x v="14"/>
    <s v="19:25"/>
    <x v="2"/>
    <n v="19"/>
  </r>
  <r>
    <s v=" OD0066 "/>
    <x v="0"/>
    <s v="  NV11"/>
    <x v="17"/>
    <x v="5"/>
    <s v="38k"/>
    <n v="4"/>
    <n v="38000"/>
    <x v="94"/>
    <x v="8"/>
    <s v="09:27"/>
    <x v="3"/>
    <n v="9"/>
  </r>
  <r>
    <s v=" OD0105 "/>
    <x v="4"/>
    <s v="  NV15"/>
    <x v="17"/>
    <x v="5"/>
    <s v="38k"/>
    <n v="2"/>
    <n v="38000"/>
    <x v="55"/>
    <x v="37"/>
    <s v="07:37"/>
    <x v="3"/>
    <n v="7"/>
  </r>
  <r>
    <s v=" OD0080 "/>
    <x v="4"/>
    <s v="  NV02"/>
    <x v="18"/>
    <x v="0"/>
    <s v="54.000đ"/>
    <n v="2"/>
    <n v="54000"/>
    <x v="15"/>
    <x v="11"/>
    <s v="11:26"/>
    <x v="0"/>
    <n v="11"/>
  </r>
  <r>
    <s v=" OD0010 "/>
    <x v="3"/>
    <s v="  NV13"/>
    <x v="21"/>
    <x v="0"/>
    <s v="57490"/>
    <n v="2"/>
    <n v="57490"/>
    <x v="95"/>
    <x v="30"/>
    <s v="13:49"/>
    <x v="0"/>
    <n v="13"/>
  </r>
  <r>
    <s v=" OD0045 "/>
    <x v="3"/>
    <s v="  NV01"/>
    <x v="3"/>
    <x v="3"/>
    <s v="41k"/>
    <n v="4"/>
    <n v="41000"/>
    <x v="96"/>
    <x v="24"/>
    <s v="07:19"/>
    <x v="3"/>
    <n v="7"/>
  </r>
  <r>
    <s v=" OD0023 "/>
    <x v="2"/>
    <s v="  NV10"/>
    <x v="10"/>
    <x v="4"/>
    <s v="44k"/>
    <n v="3"/>
    <n v="44000"/>
    <x v="14"/>
    <x v="6"/>
    <s v="11:12"/>
    <x v="0"/>
    <n v="11"/>
  </r>
  <r>
    <s v=" OD0014 "/>
    <x v="1"/>
    <s v="  NV03"/>
    <x v="7"/>
    <x v="0"/>
    <s v="41810"/>
    <n v="2"/>
    <n v="41810"/>
    <x v="20"/>
    <x v="16"/>
    <s v="10:16"/>
    <x v="3"/>
    <n v="10"/>
  </r>
  <r>
    <s v=" OD0274 "/>
    <x v="4"/>
    <s v="  NV06"/>
    <x v="14"/>
    <x v="1"/>
    <s v="50k"/>
    <n v="1"/>
    <n v="50000"/>
    <x v="10"/>
    <x v="18"/>
    <s v="18:01"/>
    <x v="2"/>
    <n v="18"/>
  </r>
  <r>
    <s v=" OD0122 "/>
    <x v="2"/>
    <s v="  NV10"/>
    <x v="16"/>
    <x v="4"/>
    <s v="40744"/>
    <n v="1"/>
    <n v="40744"/>
    <x v="97"/>
    <x v="5"/>
    <s v="10:29"/>
    <x v="3"/>
    <n v="10"/>
  </r>
  <r>
    <s v=" OD0142 "/>
    <x v="1"/>
    <s v="  NV01"/>
    <x v="4"/>
    <x v="4"/>
    <s v="41.000"/>
    <n v="2"/>
    <n v="41000"/>
    <x v="76"/>
    <x v="1"/>
    <s v="09:22"/>
    <x v="3"/>
    <n v="9"/>
  </r>
  <r>
    <s v=" OD0046 "/>
    <x v="1"/>
    <s v="  NV11"/>
    <x v="20"/>
    <x v="4"/>
    <s v="36k"/>
    <n v="3"/>
    <n v="36000"/>
    <x v="15"/>
    <x v="28"/>
    <s v="11:25"/>
    <x v="0"/>
    <n v="11"/>
  </r>
  <r>
    <s v=" OD0098 "/>
    <x v="3"/>
    <s v="  NV02"/>
    <x v="5"/>
    <x v="8"/>
    <s v="41k"/>
    <n v="1"/>
    <n v="41000"/>
    <x v="4"/>
    <x v="12"/>
    <s v="08:38"/>
    <x v="3"/>
    <n v="8"/>
  </r>
  <r>
    <s v=" OD0228 "/>
    <x v="3"/>
    <s v="  NV05"/>
    <x v="0"/>
    <x v="0"/>
    <s v="55.000"/>
    <n v="1"/>
    <n v="55000"/>
    <x v="89"/>
    <x v="14"/>
    <s v="09:58"/>
    <x v="3"/>
    <n v="9"/>
  </r>
  <r>
    <s v=" OD0016 "/>
    <x v="2"/>
    <s v="  NV06"/>
    <x v="10"/>
    <x v="4"/>
    <s v="43.000"/>
    <n v="1"/>
    <n v="43000"/>
    <x v="64"/>
    <x v="16"/>
    <s v="17:43"/>
    <x v="2"/>
    <n v="17"/>
  </r>
  <r>
    <s v=" OD0212 "/>
    <x v="3"/>
    <s v="  NV04"/>
    <x v="1"/>
    <x v="1"/>
    <s v="49.000đ"/>
    <n v="1"/>
    <n v="49000"/>
    <x v="46"/>
    <x v="4"/>
    <s v="12:53"/>
    <x v="0"/>
    <n v="12"/>
  </r>
  <r>
    <s v=" OD0233 "/>
    <x v="1"/>
    <s v="  NV08"/>
    <x v="2"/>
    <x v="7"/>
    <s v="34k"/>
    <n v="1"/>
    <n v="34000"/>
    <x v="59"/>
    <x v="31"/>
    <s v="13:08"/>
    <x v="0"/>
    <n v="13"/>
  </r>
  <r>
    <s v=" OD0041 "/>
    <x v="3"/>
    <s v="  NV11"/>
    <x v="19"/>
    <x v="0"/>
    <s v="48.000đ"/>
    <n v="1"/>
    <n v="48000"/>
    <x v="50"/>
    <x v="32"/>
    <s v="17:33"/>
    <x v="2"/>
    <n v="17"/>
  </r>
  <r>
    <s v=" OD0188 "/>
    <x v="4"/>
    <s v="  NV06"/>
    <x v="11"/>
    <x v="6"/>
    <s v="46.000"/>
    <n v="1"/>
    <n v="46000"/>
    <x v="88"/>
    <x v="2"/>
    <s v="09:43"/>
    <x v="3"/>
    <n v="9"/>
  </r>
  <r>
    <s v=" OD0267 "/>
    <x v="3"/>
    <s v="  NV13"/>
    <x v="5"/>
    <x v="3"/>
    <s v="39.000đ"/>
    <n v="2"/>
    <n v="39000"/>
    <x v="8"/>
    <x v="14"/>
    <s v="16:38"/>
    <x v="1"/>
    <n v="16"/>
  </r>
  <r>
    <s v=" OD0173 "/>
    <x v="1"/>
    <s v="  NV08"/>
    <x v="20"/>
    <x v="4"/>
    <s v="35k"/>
    <n v="1"/>
    <n v="35000"/>
    <x v="6"/>
    <x v="10"/>
    <s v="13:18"/>
    <x v="0"/>
    <n v="13"/>
  </r>
  <r>
    <s v=" OD0153 "/>
    <x v="4"/>
    <s v="  NV05"/>
    <x v="12"/>
    <x v="0"/>
    <s v="33k"/>
    <n v="1"/>
    <n v="33000"/>
    <x v="2"/>
    <x v="31"/>
    <s v="09:28"/>
    <x v="3"/>
    <n v="9"/>
  </r>
  <r>
    <s v=" OD0237 "/>
    <x v="0"/>
    <s v="  NV04"/>
    <x v="12"/>
    <x v="0"/>
    <s v="34239"/>
    <n v="1"/>
    <n v="34239"/>
    <x v="98"/>
    <x v="16"/>
    <s v="15:38"/>
    <x v="1"/>
    <n v="15"/>
  </r>
  <r>
    <s v=" OD0031 "/>
    <x v="1"/>
    <s v="  NV10"/>
    <x v="10"/>
    <x v="4"/>
    <s v="46k"/>
    <n v="1"/>
    <n v="46000"/>
    <x v="88"/>
    <x v="7"/>
    <s v="14:09"/>
    <x v="1"/>
    <n v="14"/>
  </r>
  <r>
    <s v=" OD0199 "/>
    <x v="4"/>
    <s v="  NV06"/>
    <x v="2"/>
    <x v="7"/>
    <s v="36k"/>
    <n v="4"/>
    <n v="36000"/>
    <x v="99"/>
    <x v="36"/>
    <s v="09:52"/>
    <x v="3"/>
    <n v="9"/>
  </r>
  <r>
    <s v=" OD0117 "/>
    <x v="0"/>
    <s v="  NV08"/>
    <x v="0"/>
    <x v="0"/>
    <s v="54.000đ"/>
    <n v="1"/>
    <n v="54000"/>
    <x v="17"/>
    <x v="9"/>
    <s v="09:40"/>
    <x v="3"/>
    <n v="9"/>
  </r>
  <r>
    <s v=" OD0065 "/>
    <x v="3"/>
    <s v="  NV13"/>
    <x v="2"/>
    <x v="2"/>
    <s v="34.000"/>
    <n v="3"/>
    <n v="34000"/>
    <x v="66"/>
    <x v="3"/>
    <s v="12:37"/>
    <x v="0"/>
    <n v="12"/>
  </r>
  <r>
    <s v=" OD0158 "/>
    <x v="1"/>
    <s v="  NV01"/>
    <x v="7"/>
    <x v="0"/>
    <s v="39.000đ"/>
    <n v="2"/>
    <n v="39000"/>
    <x v="8"/>
    <x v="10"/>
    <s v="14:41"/>
    <x v="1"/>
    <n v="14"/>
  </r>
  <r>
    <s v=" OD0156 "/>
    <x v="4"/>
    <s v="  NV07"/>
    <x v="0"/>
    <x v="0"/>
    <s v="55.000"/>
    <n v="2"/>
    <n v="55000"/>
    <x v="100"/>
    <x v="1"/>
    <s v="19:35"/>
    <x v="2"/>
    <n v="19"/>
  </r>
  <r>
    <s v=" OD0261 "/>
    <x v="0"/>
    <s v="  NV09"/>
    <x v="15"/>
    <x v="0"/>
    <s v="50k"/>
    <n v="1"/>
    <n v="50000"/>
    <x v="10"/>
    <x v="28"/>
    <s v="17:25"/>
    <x v="2"/>
    <n v="17"/>
  </r>
  <r>
    <s v=" OD0010 "/>
    <x v="3"/>
    <s v="  NV13"/>
    <x v="21"/>
    <x v="0"/>
    <s v="57490"/>
    <n v="2"/>
    <n v="57490"/>
    <x v="95"/>
    <x v="30"/>
    <s v="13:49"/>
    <x v="0"/>
    <n v="13"/>
  </r>
  <r>
    <s v=" OD0186 "/>
    <x v="1"/>
    <s v="  NV11"/>
    <x v="17"/>
    <x v="5"/>
    <s v="40k"/>
    <n v="1"/>
    <n v="40000"/>
    <x v="39"/>
    <x v="20"/>
    <s v="20:59"/>
    <x v="2"/>
    <n v="20"/>
  </r>
  <r>
    <s v=" OD0182 "/>
    <x v="0"/>
    <s v="  NV05"/>
    <x v="2"/>
    <x v="7"/>
    <s v="34389"/>
    <n v="1"/>
    <n v="34389"/>
    <x v="101"/>
    <x v="15"/>
    <s v="13:42"/>
    <x v="0"/>
    <n v="13"/>
  </r>
  <r>
    <s v=" OD0097 "/>
    <x v="2"/>
    <s v="  NV14"/>
    <x v="7"/>
    <x v="0"/>
    <s v="39051"/>
    <n v="1"/>
    <n v="39051"/>
    <x v="102"/>
    <x v="30"/>
    <s v="20:14"/>
    <x v="2"/>
    <n v="20"/>
  </r>
  <r>
    <s v=" OD0101 "/>
    <x v="1"/>
    <s v="  NV01"/>
    <x v="6"/>
    <x v="0"/>
    <s v="33k"/>
    <n v="2"/>
    <n v="33000"/>
    <x v="103"/>
    <x v="37"/>
    <s v="11:53"/>
    <x v="0"/>
    <n v="11"/>
  </r>
  <r>
    <s v=" OD0049 "/>
    <x v="2"/>
    <s v="  NV11"/>
    <x v="1"/>
    <x v="6"/>
    <s v="51.000đ"/>
    <n v="1"/>
    <n v="51000"/>
    <x v="61"/>
    <x v="29"/>
    <s v="18:38"/>
    <x v="2"/>
    <n v="18"/>
  </r>
  <r>
    <s v=" OD0243 "/>
    <x v="4"/>
    <s v="  NV05"/>
    <x v="18"/>
    <x v="0"/>
    <s v="53727"/>
    <n v="3"/>
    <n v="53727"/>
    <x v="104"/>
    <x v="16"/>
    <s v="12:04"/>
    <x v="0"/>
    <n v="12"/>
  </r>
  <r>
    <s v=" OD0169 "/>
    <x v="0"/>
    <s v="  NV10"/>
    <x v="2"/>
    <x v="2"/>
    <s v="36633"/>
    <n v="3"/>
    <n v="36633"/>
    <x v="105"/>
    <x v="5"/>
    <s v="17:02"/>
    <x v="2"/>
    <n v="17"/>
  </r>
  <r>
    <s v=" OD0091 "/>
    <x v="2"/>
    <s v="  NV06"/>
    <x v="18"/>
    <x v="0"/>
    <s v="52k"/>
    <n v="2"/>
    <n v="52000"/>
    <x v="27"/>
    <x v="30"/>
    <s v="08:08"/>
    <x v="3"/>
    <n v="8"/>
  </r>
  <r>
    <s v=" OD0068 "/>
    <x v="3"/>
    <s v="  NV11"/>
    <x v="21"/>
    <x v="0"/>
    <s v="62.000đ"/>
    <n v="1"/>
    <n v="62000"/>
    <x v="77"/>
    <x v="20"/>
    <s v="20:19"/>
    <x v="2"/>
    <n v="20"/>
  </r>
  <r>
    <s v=" OD0265 "/>
    <x v="0"/>
    <s v="  NV02"/>
    <x v="20"/>
    <x v="4"/>
    <s v="34040"/>
    <n v="1"/>
    <n v="34040"/>
    <x v="106"/>
    <x v="11"/>
    <s v="13:12"/>
    <x v="0"/>
    <n v="13"/>
  </r>
  <r>
    <s v=" OD0232 "/>
    <x v="0"/>
    <s v="  NV05"/>
    <x v="8"/>
    <x v="5"/>
    <s v="51.000"/>
    <n v="2"/>
    <n v="51000"/>
    <x v="66"/>
    <x v="13"/>
    <s v="18:33"/>
    <x v="2"/>
    <n v="18"/>
  </r>
  <r>
    <s v=" OD0154 "/>
    <x v="3"/>
    <s v="  NV10"/>
    <x v="15"/>
    <x v="0"/>
    <s v="48.000"/>
    <n v="2"/>
    <n v="48000"/>
    <x v="47"/>
    <x v="31"/>
    <s v="19:10"/>
    <x v="2"/>
    <n v="19"/>
  </r>
  <r>
    <s v=" OD0275 "/>
    <x v="2"/>
    <s v="  NV07"/>
    <x v="2"/>
    <x v="7"/>
    <s v="33323"/>
    <n v="3"/>
    <n v="33323"/>
    <x v="107"/>
    <x v="4"/>
    <s v="14:42"/>
    <x v="1"/>
    <n v="14"/>
  </r>
  <r>
    <s v=" OD0172 "/>
    <x v="0"/>
    <s v="  NV09"/>
    <x v="14"/>
    <x v="1"/>
    <s v="50k"/>
    <n v="1"/>
    <n v="50000"/>
    <x v="10"/>
    <x v="5"/>
    <s v="10:50"/>
    <x v="3"/>
    <n v="10"/>
  </r>
  <r>
    <s v=" OD0211 "/>
    <x v="3"/>
    <s v="  NV12"/>
    <x v="21"/>
    <x v="0"/>
    <s v="61860"/>
    <n v="2"/>
    <n v="61860"/>
    <x v="108"/>
    <x v="4"/>
    <s v="09:30"/>
    <x v="3"/>
    <n v="9"/>
  </r>
  <r>
    <s v=" OD0124 "/>
    <x v="2"/>
    <s v="  NV01"/>
    <x v="13"/>
    <x v="4"/>
    <s v="52.000đ"/>
    <n v="2"/>
    <n v="52000"/>
    <x v="27"/>
    <x v="5"/>
    <s v="09:15"/>
    <x v="3"/>
    <n v="9"/>
  </r>
  <r>
    <s v=" OD0110 "/>
    <x v="3"/>
    <s v="  NV10"/>
    <x v="7"/>
    <x v="0"/>
    <s v="38.000đ"/>
    <n v="3"/>
    <n v="38000"/>
    <x v="29"/>
    <x v="31"/>
    <s v="07:51"/>
    <x v="3"/>
    <n v="7"/>
  </r>
  <r>
    <s v=" OD0104 "/>
    <x v="4"/>
    <s v="  NV07"/>
    <x v="1"/>
    <x v="1"/>
    <s v="51.000"/>
    <n v="3"/>
    <n v="51000"/>
    <x v="109"/>
    <x v="7"/>
    <s v="17:14"/>
    <x v="2"/>
    <n v="17"/>
  </r>
  <r>
    <s v=" OD0062 "/>
    <x v="1"/>
    <s v="  NV10"/>
    <x v="16"/>
    <x v="4"/>
    <s v="40.000đ"/>
    <n v="2"/>
    <n v="40000"/>
    <x v="91"/>
    <x v="6"/>
    <s v="09:11"/>
    <x v="3"/>
    <n v="9"/>
  </r>
  <r>
    <s v=" OD0083 "/>
    <x v="1"/>
    <s v="  NV12"/>
    <x v="2"/>
    <x v="7"/>
    <s v="35872"/>
    <n v="3"/>
    <n v="35872"/>
    <x v="75"/>
    <x v="6"/>
    <s v="14:29"/>
    <x v="1"/>
    <n v="14"/>
  </r>
  <r>
    <s v=" OD0069 "/>
    <x v="1"/>
    <s v="  NV02"/>
    <x v="14"/>
    <x v="6"/>
    <s v="51.000"/>
    <n v="1"/>
    <n v="51000"/>
    <x v="61"/>
    <x v="4"/>
    <s v="11:01"/>
    <x v="0"/>
    <n v="11"/>
  </r>
  <r>
    <s v=" OD0034 "/>
    <x v="1"/>
    <s v="  NV13"/>
    <x v="5"/>
    <x v="3"/>
    <s v="38.000đ"/>
    <n v="1"/>
    <n v="38000"/>
    <x v="44"/>
    <x v="18"/>
    <s v="11:12"/>
    <x v="0"/>
    <n v="11"/>
  </r>
  <r>
    <s v=" OD0039 "/>
    <x v="0"/>
    <s v="  NV01"/>
    <x v="14"/>
    <x v="1"/>
    <s v="51k"/>
    <n v="2"/>
    <n v="51000"/>
    <x v="66"/>
    <x v="24"/>
    <s v="08:14"/>
    <x v="3"/>
    <n v="8"/>
  </r>
  <r>
    <s v=" OD0042 "/>
    <x v="3"/>
    <s v="  NV09"/>
    <x v="14"/>
    <x v="1"/>
    <s v="50k"/>
    <n v="1"/>
    <n v="50000"/>
    <x v="10"/>
    <x v="3"/>
    <s v="08:52"/>
    <x v="3"/>
    <n v="8"/>
  </r>
  <r>
    <s v=" OD0239 "/>
    <x v="4"/>
    <s v="  NV14"/>
    <x v="10"/>
    <x v="4"/>
    <s v="45k"/>
    <n v="1"/>
    <n v="45000"/>
    <x v="74"/>
    <x v="16"/>
    <s v="17:38"/>
    <x v="2"/>
    <n v="17"/>
  </r>
  <r>
    <s v=" OD0015 "/>
    <x v="1"/>
    <s v="  NV10"/>
    <x v="9"/>
    <x v="0"/>
    <s v="31.000"/>
    <n v="2"/>
    <n v="31000"/>
    <x v="77"/>
    <x v="16"/>
    <s v="10:11"/>
    <x v="3"/>
    <n v="10"/>
  </r>
  <r>
    <s v=" OD0063 "/>
    <x v="3"/>
    <s v="  NV15"/>
    <x v="0"/>
    <x v="0"/>
    <s v="54349"/>
    <n v="2"/>
    <n v="54349"/>
    <x v="37"/>
    <x v="1"/>
    <s v="09:26"/>
    <x v="3"/>
    <n v="9"/>
  </r>
  <r>
    <s v=" OD0057 "/>
    <x v="2"/>
    <s v="  NV02"/>
    <x v="16"/>
    <x v="4"/>
    <s v="40k"/>
    <n v="1"/>
    <n v="40000"/>
    <x v="39"/>
    <x v="6"/>
    <s v="07:41"/>
    <x v="3"/>
    <n v="7"/>
  </r>
  <r>
    <s v=" OD0151 "/>
    <x v="4"/>
    <s v="  NV14"/>
    <x v="8"/>
    <x v="7"/>
    <s v="49k"/>
    <n v="3"/>
    <n v="49000"/>
    <x v="1"/>
    <x v="24"/>
    <s v="17:17"/>
    <x v="2"/>
    <n v="17"/>
  </r>
  <r>
    <s v=" OD0179 "/>
    <x v="3"/>
    <s v="  NV09"/>
    <x v="18"/>
    <x v="0"/>
    <s v="55.000đ"/>
    <n v="1"/>
    <n v="55000"/>
    <x v="89"/>
    <x v="32"/>
    <s v="08:45"/>
    <x v="3"/>
    <n v="8"/>
  </r>
  <r>
    <s v=" OD0114 "/>
    <x v="0"/>
    <s v="  NV13"/>
    <x v="8"/>
    <x v="7"/>
    <s v="47747"/>
    <n v="2"/>
    <n v="47747"/>
    <x v="110"/>
    <x v="35"/>
    <s v="12:24"/>
    <x v="0"/>
    <n v="12"/>
  </r>
  <r>
    <s v=" OD0095 "/>
    <x v="4"/>
    <s v="  NV14"/>
    <x v="13"/>
    <x v="4"/>
    <s v="52k"/>
    <n v="1"/>
    <n v="52000"/>
    <x v="31"/>
    <x v="32"/>
    <s v="15:19"/>
    <x v="1"/>
    <n v="15"/>
  </r>
  <r>
    <s v=" OD0090 "/>
    <x v="1"/>
    <s v="  NV06"/>
    <x v="7"/>
    <x v="0"/>
    <s v="40184"/>
    <n v="1"/>
    <n v="40184"/>
    <x v="111"/>
    <x v="17"/>
    <s v="09:38"/>
    <x v="3"/>
    <n v="9"/>
  </r>
  <r>
    <s v=" OD0138 "/>
    <x v="2"/>
    <s v="  NV04"/>
    <x v="13"/>
    <x v="4"/>
    <s v="53k"/>
    <n v="2"/>
    <n v="53000"/>
    <x v="112"/>
    <x v="6"/>
    <s v="09:48"/>
    <x v="3"/>
    <n v="9"/>
  </r>
  <r>
    <s v=" OD0077 "/>
    <x v="4"/>
    <s v="  NV04"/>
    <x v="1"/>
    <x v="6"/>
    <s v="49k"/>
    <n v="1"/>
    <n v="49000"/>
    <x v="46"/>
    <x v="4"/>
    <s v="20:25"/>
    <x v="2"/>
    <n v="20"/>
  </r>
  <r>
    <s v=" OD0004 "/>
    <x v="1"/>
    <s v="  NV14"/>
    <x v="12"/>
    <x v="0"/>
    <s v="35.000"/>
    <n v="2"/>
    <n v="35000"/>
    <x v="28"/>
    <x v="16"/>
    <s v="12:06"/>
    <x v="0"/>
    <n v="12"/>
  </r>
  <r>
    <s v=" OD0245 "/>
    <x v="1"/>
    <s v="  NV14"/>
    <x v="0"/>
    <x v="0"/>
    <s v="56.000"/>
    <n v="3"/>
    <n v="56000"/>
    <x v="90"/>
    <x v="11"/>
    <s v="09:32"/>
    <x v="3"/>
    <n v="9"/>
  </r>
  <r>
    <s v=" OD0250 "/>
    <x v="0"/>
    <s v="  NV08"/>
    <x v="6"/>
    <x v="0"/>
    <s v="36k"/>
    <n v="1"/>
    <n v="36000"/>
    <x v="113"/>
    <x v="28"/>
    <s v="10:59"/>
    <x v="3"/>
    <n v="10"/>
  </r>
  <r>
    <s v=" OD0224 "/>
    <x v="2"/>
    <s v="  NV12"/>
    <x v="11"/>
    <x v="1"/>
    <s v="43.000"/>
    <n v="1"/>
    <n v="43000"/>
    <x v="64"/>
    <x v="30"/>
    <s v="10:51"/>
    <x v="3"/>
    <n v="10"/>
  </r>
  <r>
    <s v=" OD0001 "/>
    <x v="1"/>
    <s v="  NV13"/>
    <x v="6"/>
    <x v="0"/>
    <s v="33.000"/>
    <n v="1"/>
    <n v="33000"/>
    <x v="2"/>
    <x v="12"/>
    <s v="13:43"/>
    <x v="0"/>
    <n v="13"/>
  </r>
  <r>
    <s v=" OD0111 "/>
    <x v="4"/>
    <s v="  NV11"/>
    <x v="19"/>
    <x v="0"/>
    <s v="50828"/>
    <n v="2"/>
    <n v="50828"/>
    <x v="114"/>
    <x v="20"/>
    <s v="13:35"/>
    <x v="0"/>
    <n v="13"/>
  </r>
  <r>
    <s v=" OD0075 "/>
    <x v="0"/>
    <s v="  NV06"/>
    <x v="14"/>
    <x v="1"/>
    <s v="51518"/>
    <n v="1"/>
    <n v="51518"/>
    <x v="115"/>
    <x v="10"/>
    <s v="08:40"/>
    <x v="3"/>
    <n v="8"/>
  </r>
  <r>
    <s v=" OD0131 "/>
    <x v="0"/>
    <s v="  NV11"/>
    <x v="20"/>
    <x v="4"/>
    <s v="36410"/>
    <n v="1"/>
    <n v="36410"/>
    <x v="116"/>
    <x v="6"/>
    <s v="15:28"/>
    <x v="1"/>
    <n v="15"/>
  </r>
  <r>
    <s v=" OD0145 "/>
    <x v="2"/>
    <s v="  NV15"/>
    <x v="0"/>
    <x v="0"/>
    <s v="54620"/>
    <n v="4"/>
    <n v="54620"/>
    <x v="117"/>
    <x v="18"/>
    <s v="14:54"/>
    <x v="1"/>
    <n v="14"/>
  </r>
  <r>
    <s v=" OD0139 "/>
    <x v="4"/>
    <s v="  NV13"/>
    <x v="4"/>
    <x v="4"/>
    <s v="41704"/>
    <n v="2"/>
    <n v="41704"/>
    <x v="118"/>
    <x v="18"/>
    <s v="14:39"/>
    <x v="1"/>
    <n v="14"/>
  </r>
  <r>
    <s v=" OD0049 "/>
    <x v="2"/>
    <s v="  NV11"/>
    <x v="1"/>
    <x v="6"/>
    <s v="51.000đ"/>
    <n v="1"/>
    <n v="51000"/>
    <x v="61"/>
    <x v="29"/>
    <s v="18:38"/>
    <x v="2"/>
    <n v="18"/>
  </r>
  <r>
    <s v=" OD0185 "/>
    <x v="0"/>
    <s v="  NV09"/>
    <x v="3"/>
    <x v="3"/>
    <s v="38k"/>
    <n v="1"/>
    <n v="38000"/>
    <x v="44"/>
    <x v="28"/>
    <s v="08:09"/>
    <x v="3"/>
    <n v="8"/>
  </r>
  <r>
    <s v=" OD0071 "/>
    <x v="4"/>
    <s v="  NV05"/>
    <x v="9"/>
    <x v="0"/>
    <s v="29997"/>
    <n v="1"/>
    <n v="29997"/>
    <x v="33"/>
    <x v="14"/>
    <s v="12:21"/>
    <x v="0"/>
    <n v="12"/>
  </r>
  <r>
    <s v=" OD0087 "/>
    <x v="4"/>
    <s v="  NV11"/>
    <x v="6"/>
    <x v="0"/>
    <s v="35k"/>
    <n v="1"/>
    <n v="35000"/>
    <x v="6"/>
    <x v="32"/>
    <s v="15:10"/>
    <x v="1"/>
    <n v="15"/>
  </r>
  <r>
    <s v=" OD0229 "/>
    <x v="2"/>
    <s v="  NV07"/>
    <x v="0"/>
    <x v="0"/>
    <s v="57556"/>
    <n v="3"/>
    <n v="57556"/>
    <x v="119"/>
    <x v="20"/>
    <s v="14:15"/>
    <x v="1"/>
    <n v="14"/>
  </r>
  <r>
    <s v=" OD0079 "/>
    <x v="2"/>
    <s v="  NV10"/>
    <x v="13"/>
    <x v="4"/>
    <s v="57k"/>
    <n v="2"/>
    <n v="57000"/>
    <x v="29"/>
    <x v="37"/>
    <s v="15:16"/>
    <x v="1"/>
    <n v="15"/>
  </r>
  <r>
    <s v=" OD0176 "/>
    <x v="4"/>
    <s v="  NV10"/>
    <x v="0"/>
    <x v="0"/>
    <s v="55k"/>
    <n v="1"/>
    <n v="55000"/>
    <x v="89"/>
    <x v="4"/>
    <s v="14:09"/>
    <x v="1"/>
    <n v="14"/>
  </r>
  <r>
    <s v=" OD0155 "/>
    <x v="3"/>
    <s v="  NV05"/>
    <x v="1"/>
    <x v="6"/>
    <s v="50k"/>
    <n v="2"/>
    <n v="50000"/>
    <x v="84"/>
    <x v="34"/>
    <s v="11:30"/>
    <x v="0"/>
    <n v="11"/>
  </r>
  <r>
    <s v=" OD0204 "/>
    <x v="3"/>
    <s v="  NV12"/>
    <x v="21"/>
    <x v="0"/>
    <s v="60k"/>
    <n v="2"/>
    <n v="60000"/>
    <x v="36"/>
    <x v="37"/>
    <s v="17:14"/>
    <x v="2"/>
    <n v="17"/>
  </r>
  <r>
    <s v=" OD0210 "/>
    <x v="0"/>
    <s v="  NV06"/>
    <x v="15"/>
    <x v="0"/>
    <s v="47.000"/>
    <n v="2"/>
    <n v="47000"/>
    <x v="26"/>
    <x v="25"/>
    <s v="17:57"/>
    <x v="2"/>
    <n v="17"/>
  </r>
  <r>
    <s v=" OD0152 "/>
    <x v="2"/>
    <s v="  NV12"/>
    <x v="18"/>
    <x v="0"/>
    <s v="56k"/>
    <n v="3"/>
    <n v="56000"/>
    <x v="90"/>
    <x v="20"/>
    <s v="09:34"/>
    <x v="3"/>
    <n v="9"/>
  </r>
  <r>
    <s v=" OD0100 "/>
    <x v="3"/>
    <s v="  NV03"/>
    <x v="12"/>
    <x v="0"/>
    <s v="35.000"/>
    <n v="2"/>
    <n v="35000"/>
    <x v="28"/>
    <x v="7"/>
    <s v="17:23"/>
    <x v="2"/>
    <n v="17"/>
  </r>
  <r>
    <s v=" OD0225 "/>
    <x v="1"/>
    <s v="  NV13"/>
    <x v="13"/>
    <x v="4"/>
    <s v="57.000đ"/>
    <n v="1"/>
    <n v="57000"/>
    <x v="22"/>
    <x v="12"/>
    <s v="17:35"/>
    <x v="2"/>
    <n v="17"/>
  </r>
  <r>
    <s v=" OD0258 "/>
    <x v="4"/>
    <s v="  NV03"/>
    <x v="0"/>
    <x v="0"/>
    <s v="55k"/>
    <n v="1"/>
    <n v="55000"/>
    <x v="89"/>
    <x v="2"/>
    <s v="12:00"/>
    <x v="0"/>
    <n v="12"/>
  </r>
  <r>
    <s v=" OD0157 "/>
    <x v="1"/>
    <s v="  NV14"/>
    <x v="18"/>
    <x v="0"/>
    <s v="52.000đ"/>
    <n v="2"/>
    <n v="52000"/>
    <x v="27"/>
    <x v="31"/>
    <s v="13:57"/>
    <x v="0"/>
    <n v="13"/>
  </r>
  <r>
    <s v=" OD0256 "/>
    <x v="3"/>
    <s v="  NV15"/>
    <x v="21"/>
    <x v="0"/>
    <s v="61228"/>
    <n v="2"/>
    <n v="61228"/>
    <x v="120"/>
    <x v="7"/>
    <s v="14:15"/>
    <x v="1"/>
    <n v="14"/>
  </r>
  <r>
    <s v=" OD0081 "/>
    <x v="2"/>
    <s v="  NV02"/>
    <x v="21"/>
    <x v="0"/>
    <s v="61k"/>
    <n v="1"/>
    <n v="61000"/>
    <x v="121"/>
    <x v="20"/>
    <s v="14:37"/>
    <x v="1"/>
    <n v="14"/>
  </r>
  <r>
    <s v=" OD0140 "/>
    <x v="2"/>
    <s v="  NV02"/>
    <x v="10"/>
    <x v="4"/>
    <s v="44k"/>
    <n v="2"/>
    <n v="44000"/>
    <x v="13"/>
    <x v="2"/>
    <s v="16:04"/>
    <x v="1"/>
    <n v="16"/>
  </r>
  <r>
    <s v=" OD0051 "/>
    <x v="2"/>
    <s v="  NV04"/>
    <x v="13"/>
    <x v="4"/>
    <s v="52k"/>
    <n v="3"/>
    <n v="52000"/>
    <x v="16"/>
    <x v="14"/>
    <s v="10:27"/>
    <x v="3"/>
    <n v="10"/>
  </r>
  <r>
    <s v=" OD0147 "/>
    <x v="1"/>
    <s v="  NV14"/>
    <x v="7"/>
    <x v="0"/>
    <s v="41.000"/>
    <n v="1"/>
    <n v="41000"/>
    <x v="4"/>
    <x v="13"/>
    <s v="14:30"/>
    <x v="1"/>
    <n v="14"/>
  </r>
  <r>
    <s v=" OD0032 "/>
    <x v="3"/>
    <s v="  NV12"/>
    <x v="19"/>
    <x v="0"/>
    <s v="51.000"/>
    <n v="1"/>
    <n v="51000"/>
    <x v="61"/>
    <x v="12"/>
    <s v="07:52"/>
    <x v="3"/>
    <n v="7"/>
  </r>
  <r>
    <s v=" OD0109 "/>
    <x v="4"/>
    <s v="  NV03"/>
    <x v="4"/>
    <x v="4"/>
    <s v="40.000"/>
    <n v="2"/>
    <n v="40000"/>
    <x v="91"/>
    <x v="24"/>
    <s v="12:48"/>
    <x v="0"/>
    <n v="12"/>
  </r>
  <r>
    <s v=" OD0059 "/>
    <x v="2"/>
    <s v="  NV05"/>
    <x v="1"/>
    <x v="6"/>
    <s v="48.000"/>
    <n v="2"/>
    <n v="48000"/>
    <x v="47"/>
    <x v="7"/>
    <s v="18:49"/>
    <x v="2"/>
    <n v="18"/>
  </r>
  <r>
    <s v=" OD0165 "/>
    <x v="4"/>
    <s v="  NV12"/>
    <x v="1"/>
    <x v="6"/>
    <s v="47906"/>
    <n v="1"/>
    <n v="47906"/>
    <x v="122"/>
    <x v="11"/>
    <s v="12:11"/>
    <x v="0"/>
    <n v="12"/>
  </r>
  <r>
    <s v=" OD0041 "/>
    <x v="3"/>
    <s v="  NV11"/>
    <x v="19"/>
    <x v="0"/>
    <s v="48.000đ"/>
    <n v="1"/>
    <n v="48000"/>
    <x v="50"/>
    <x v="32"/>
    <s v="17:33"/>
    <x v="2"/>
    <n v="17"/>
  </r>
  <r>
    <s v=" OD0061 "/>
    <x v="3"/>
    <s v="  NV01"/>
    <x v="10"/>
    <x v="4"/>
    <s v="45118"/>
    <n v="1"/>
    <n v="45118"/>
    <x v="92"/>
    <x v="15"/>
    <s v="12:03"/>
    <x v="0"/>
    <n v="12"/>
  </r>
  <r>
    <s v=" OD0230 "/>
    <x v="0"/>
    <s v="  NV15"/>
    <x v="7"/>
    <x v="0"/>
    <s v="40.000"/>
    <n v="2"/>
    <n v="40000"/>
    <x v="91"/>
    <x v="19"/>
    <s v="12:36"/>
    <x v="0"/>
    <n v="12"/>
  </r>
  <r>
    <s v=" OD0213 "/>
    <x v="3"/>
    <s v="  NV06"/>
    <x v="20"/>
    <x v="4"/>
    <s v="35k"/>
    <n v="2"/>
    <n v="35000"/>
    <x v="28"/>
    <x v="5"/>
    <s v="12:13"/>
    <x v="0"/>
    <n v="12"/>
  </r>
  <r>
    <s v=" OD0208 "/>
    <x v="2"/>
    <s v="  NV06"/>
    <x v="6"/>
    <x v="0"/>
    <s v="33k"/>
    <n v="2"/>
    <n v="33000"/>
    <x v="103"/>
    <x v="30"/>
    <s v="18:05"/>
    <x v="2"/>
    <n v="18"/>
  </r>
  <r>
    <s v=" OD0069 "/>
    <x v="1"/>
    <s v="  NV02"/>
    <x v="14"/>
    <x v="6"/>
    <s v="51.000"/>
    <n v="1"/>
    <n v="51000"/>
    <x v="61"/>
    <x v="4"/>
    <s v="11:01"/>
    <x v="0"/>
    <n v="11"/>
  </r>
  <r>
    <s v=" OD0008 "/>
    <x v="2"/>
    <s v="  NV08"/>
    <x v="19"/>
    <x v="0"/>
    <s v="50k"/>
    <n v="1"/>
    <n v="50000"/>
    <x v="10"/>
    <x v="16"/>
    <s v="10:10"/>
    <x v="3"/>
    <n v="10"/>
  </r>
  <r>
    <s v=" OD0082 "/>
    <x v="1"/>
    <s v="  NV09"/>
    <x v="20"/>
    <x v="4"/>
    <s v="35.000đ"/>
    <n v="2"/>
    <n v="35000"/>
    <x v="28"/>
    <x v="31"/>
    <s v="13:03"/>
    <x v="0"/>
    <n v="13"/>
  </r>
  <r>
    <s v=" OD0050 "/>
    <x v="3"/>
    <s v="  NV06"/>
    <x v="18"/>
    <x v="0"/>
    <s v="55.000đ"/>
    <n v="3"/>
    <n v="55000"/>
    <x v="123"/>
    <x v="28"/>
    <s v="10:49"/>
    <x v="3"/>
    <n v="10"/>
  </r>
  <r>
    <s v=" OD0119 "/>
    <x v="0"/>
    <s v="  NV04"/>
    <x v="18"/>
    <x v="0"/>
    <s v="53.000"/>
    <n v="1"/>
    <n v="53000"/>
    <x v="124"/>
    <x v="15"/>
    <s v="11:00"/>
    <x v="0"/>
    <n v="11"/>
  </r>
  <r>
    <s v=" OD0163 "/>
    <x v="3"/>
    <s v="  NV01"/>
    <x v="10"/>
    <x v="4"/>
    <s v="44k"/>
    <n v="2"/>
    <n v="44000"/>
    <x v="13"/>
    <x v="32"/>
    <s v="13:03"/>
    <x v="0"/>
    <n v="13"/>
  </r>
  <r>
    <s v=" OD0161 "/>
    <x v="4"/>
    <s v="  NV12"/>
    <x v="6"/>
    <x v="0"/>
    <s v="33.000"/>
    <n v="2"/>
    <n v="33000"/>
    <x v="103"/>
    <x v="35"/>
    <s v="07:24"/>
    <x v="3"/>
    <n v="7"/>
  </r>
  <r>
    <s v=" OD0102 "/>
    <x v="1"/>
    <s v="  NV04"/>
    <x v="5"/>
    <x v="8"/>
    <s v="38111"/>
    <n v="1"/>
    <n v="38111"/>
    <x v="125"/>
    <x v="37"/>
    <s v="12:02"/>
    <x v="0"/>
    <n v="12"/>
  </r>
  <r>
    <s v=" OD0215 "/>
    <x v="2"/>
    <s v="  NV04"/>
    <x v="11"/>
    <x v="1"/>
    <s v="47k"/>
    <n v="2"/>
    <n v="47000"/>
    <x v="26"/>
    <x v="32"/>
    <s v="12:46"/>
    <x v="0"/>
    <n v="12"/>
  </r>
  <r>
    <s v=" OD0227 "/>
    <x v="0"/>
    <s v="  NV14"/>
    <x v="14"/>
    <x v="6"/>
    <s v="50k"/>
    <n v="1"/>
    <n v="50000"/>
    <x v="10"/>
    <x v="8"/>
    <s v="19:05"/>
    <x v="2"/>
    <n v="19"/>
  </r>
  <r>
    <s v=" OD0086 "/>
    <x v="0"/>
    <s v="  NV05"/>
    <x v="11"/>
    <x v="1"/>
    <s v="44.000"/>
    <n v="2"/>
    <n v="44000"/>
    <x v="13"/>
    <x v="14"/>
    <s v="07:50"/>
    <x v="3"/>
    <n v="7"/>
  </r>
  <r>
    <s v=" OD0174 "/>
    <x v="2"/>
    <s v="  NV09"/>
    <x v="7"/>
    <x v="0"/>
    <s v="38048"/>
    <n v="3"/>
    <n v="38048"/>
    <x v="126"/>
    <x v="21"/>
    <s v="14:10"/>
    <x v="1"/>
    <n v="14"/>
  </r>
  <r>
    <s v=" OD0195 "/>
    <x v="3"/>
    <s v="  NV06"/>
    <x v="13"/>
    <x v="4"/>
    <s v="56.000đ"/>
    <n v="1"/>
    <n v="56000"/>
    <x v="56"/>
    <x v="6"/>
    <s v="11:43"/>
    <x v="0"/>
    <n v="11"/>
  </r>
  <r>
    <s v=" OD0001 "/>
    <x v="1"/>
    <s v="  NV13"/>
    <x v="6"/>
    <x v="0"/>
    <s v="33.000"/>
    <n v="1"/>
    <n v="33000"/>
    <x v="2"/>
    <x v="12"/>
    <s v="13:43"/>
    <x v="0"/>
    <n v="13"/>
  </r>
  <r>
    <s v=" OD0259 "/>
    <x v="1"/>
    <s v="  NV03"/>
    <x v="3"/>
    <x v="3"/>
    <s v="41.000"/>
    <n v="1"/>
    <n v="41000"/>
    <x v="4"/>
    <x v="35"/>
    <s v="12:47"/>
    <x v="0"/>
    <n v="12"/>
  </r>
  <r>
    <s v=" OD0280 "/>
    <x v="3"/>
    <s v="  NV12"/>
    <x v="21"/>
    <x v="0"/>
    <s v="58.000đ"/>
    <n v="3"/>
    <n v="58000"/>
    <x v="127"/>
    <x v="38"/>
    <s v="11:56"/>
    <x v="0"/>
    <n v="11"/>
  </r>
  <r>
    <s v=" OD0137 "/>
    <x v="2"/>
    <s v="  NV05"/>
    <x v="14"/>
    <x v="1"/>
    <s v="50.000đ"/>
    <n v="2"/>
    <n v="50000"/>
    <x v="84"/>
    <x v="6"/>
    <s v="11:50"/>
    <x v="0"/>
    <n v="11"/>
  </r>
  <r>
    <s v=" OD0007 "/>
    <x v="1"/>
    <s v="  NV11"/>
    <x v="17"/>
    <x v="2"/>
    <s v="39271"/>
    <n v="1"/>
    <n v="39271"/>
    <x v="128"/>
    <x v="0"/>
    <s v="07:37"/>
    <x v="3"/>
    <n v="7"/>
  </r>
  <r>
    <s v=" OD0084 "/>
    <x v="4"/>
    <s v="  NV10"/>
    <x v="17"/>
    <x v="5"/>
    <s v="38.000"/>
    <n v="2"/>
    <n v="38000"/>
    <x v="55"/>
    <x v="16"/>
    <s v="19:59"/>
    <x v="2"/>
    <n v="19"/>
  </r>
  <r>
    <s v=" OD0255 "/>
    <x v="0"/>
    <s v="  NV04"/>
    <x v="15"/>
    <x v="0"/>
    <s v="51k"/>
    <n v="1"/>
    <n v="51000"/>
    <x v="61"/>
    <x v="22"/>
    <s v="11:03"/>
    <x v="0"/>
    <n v="11"/>
  </r>
  <r>
    <s v=" OD0197 "/>
    <x v="3"/>
    <s v="  NV13"/>
    <x v="0"/>
    <x v="0"/>
    <s v="54k"/>
    <n v="2"/>
    <n v="54000"/>
    <x v="15"/>
    <x v="12"/>
    <s v="07:14"/>
    <x v="3"/>
    <n v="7"/>
  </r>
  <r>
    <s v=" OD0190 "/>
    <x v="1"/>
    <s v="  NV01"/>
    <x v="9"/>
    <x v="0"/>
    <s v="28.000"/>
    <n v="2"/>
    <n v="28000"/>
    <x v="56"/>
    <x v="32"/>
    <s v="16:29"/>
    <x v="1"/>
    <n v="16"/>
  </r>
  <r>
    <s v=" OD0078 "/>
    <x v="3"/>
    <s v="  NV15"/>
    <x v="14"/>
    <x v="6"/>
    <s v="50.000đ"/>
    <n v="1"/>
    <n v="50000"/>
    <x v="10"/>
    <x v="11"/>
    <s v="17:04"/>
    <x v="2"/>
    <n v="17"/>
  </r>
  <r>
    <s v=" OD0240 "/>
    <x v="4"/>
    <s v="  NV08"/>
    <x v="1"/>
    <x v="6"/>
    <s v="50.000đ"/>
    <n v="1"/>
    <n v="50000"/>
    <x v="10"/>
    <x v="33"/>
    <s v="07:12"/>
    <x v="3"/>
    <n v="7"/>
  </r>
  <r>
    <s v=" OD0168 "/>
    <x v="0"/>
    <s v="  NV04"/>
    <x v="9"/>
    <x v="0"/>
    <s v="29141"/>
    <n v="1"/>
    <n v="29141"/>
    <x v="129"/>
    <x v="10"/>
    <s v="09:06"/>
    <x v="3"/>
    <n v="9"/>
  </r>
  <r>
    <s v=" OD0093 "/>
    <x v="0"/>
    <s v="  NV02"/>
    <x v="17"/>
    <x v="7"/>
    <s v="39021"/>
    <n v="1"/>
    <n v="39021"/>
    <x v="130"/>
    <x v="14"/>
    <s v="12:19"/>
    <x v="0"/>
    <n v="12"/>
  </r>
  <r>
    <s v=" OD0045 "/>
    <x v="3"/>
    <s v="  NV01"/>
    <x v="3"/>
    <x v="3"/>
    <s v="41k"/>
    <n v="4"/>
    <n v="41000"/>
    <x v="96"/>
    <x v="24"/>
    <s v="07:19"/>
    <x v="3"/>
    <n v="7"/>
  </r>
  <r>
    <s v=" OD0238 "/>
    <x v="0"/>
    <s v="  NV03"/>
    <x v="11"/>
    <x v="1"/>
    <s v="44881"/>
    <n v="1"/>
    <n v="44881"/>
    <x v="131"/>
    <x v="16"/>
    <s v="20:25"/>
    <x v="2"/>
    <n v="20"/>
  </r>
  <r>
    <s v=" OD0052 "/>
    <x v="3"/>
    <s v="  NV09"/>
    <x v="0"/>
    <x v="0"/>
    <s v="57542"/>
    <n v="2"/>
    <n v="57542"/>
    <x v="132"/>
    <x v="14"/>
    <s v="15:07"/>
    <x v="1"/>
    <n v="15"/>
  </r>
  <r>
    <s v=" OD0116 "/>
    <x v="0"/>
    <s v="  NV09"/>
    <x v="5"/>
    <x v="8"/>
    <s v="38.000"/>
    <n v="1"/>
    <n v="38000"/>
    <x v="44"/>
    <x v="14"/>
    <s v="07:40"/>
    <x v="3"/>
    <n v="7"/>
  </r>
  <r>
    <s v=" OD0019 "/>
    <x v="1"/>
    <s v="  NV14"/>
    <x v="7"/>
    <x v="0"/>
    <s v="38.000đ"/>
    <n v="3"/>
    <n v="38000"/>
    <x v="29"/>
    <x v="12"/>
    <s v="09:29"/>
    <x v="3"/>
    <n v="9"/>
  </r>
  <r>
    <s v=" OD0150 "/>
    <x v="2"/>
    <s v="  NV13"/>
    <x v="19"/>
    <x v="0"/>
    <s v="47k"/>
    <n v="2"/>
    <n v="47000"/>
    <x v="26"/>
    <x v="38"/>
    <s v="08:29"/>
    <x v="3"/>
    <n v="8"/>
  </r>
  <r>
    <s v=" OD0272 "/>
    <x v="4"/>
    <s v="  NV09"/>
    <x v="9"/>
    <x v="0"/>
    <s v="29.000"/>
    <n v="3"/>
    <n v="29000"/>
    <x v="133"/>
    <x v="37"/>
    <s v="10:12"/>
    <x v="3"/>
    <n v="10"/>
  </r>
  <r>
    <s v=" OD0135 "/>
    <x v="0"/>
    <s v="  NV13"/>
    <x v="3"/>
    <x v="3"/>
    <s v="39741"/>
    <n v="3"/>
    <n v="39741"/>
    <x v="134"/>
    <x v="0"/>
    <s v="07:43"/>
    <x v="3"/>
    <n v="7"/>
  </r>
  <r>
    <s v=" OD0129 "/>
    <x v="4"/>
    <s v="  NV14"/>
    <x v="19"/>
    <x v="0"/>
    <s v="47k"/>
    <n v="1"/>
    <n v="47000"/>
    <x v="70"/>
    <x v="15"/>
    <s v="12:05"/>
    <x v="0"/>
    <n v="12"/>
  </r>
  <r>
    <s v=" OD0003 "/>
    <x v="1"/>
    <s v="  NV04"/>
    <x v="2"/>
    <x v="5"/>
    <s v="35.000"/>
    <n v="2"/>
    <n v="35000"/>
    <x v="28"/>
    <x v="26"/>
    <s v="09:10"/>
    <x v="3"/>
    <n v="9"/>
  </r>
  <r>
    <s v=" OD0029 "/>
    <x v="1"/>
    <s v="  NV02"/>
    <x v="7"/>
    <x v="0"/>
    <s v="40317"/>
    <n v="2"/>
    <n v="40317"/>
    <x v="135"/>
    <x v="15"/>
    <s v="08:29"/>
    <x v="3"/>
    <n v="8"/>
  </r>
  <r>
    <s v=" OD0033 "/>
    <x v="3"/>
    <s v="  NV06"/>
    <x v="9"/>
    <x v="0"/>
    <s v="31469"/>
    <n v="1"/>
    <n v="31469"/>
    <x v="51"/>
    <x v="24"/>
    <s v="14:50"/>
    <x v="1"/>
    <n v="14"/>
  </r>
  <r>
    <s v=" OD0058 "/>
    <x v="2"/>
    <s v="  NV15"/>
    <x v="13"/>
    <x v="4"/>
    <s v="55.000"/>
    <n v="1"/>
    <n v="55000"/>
    <x v="89"/>
    <x v="33"/>
    <s v="09:04"/>
    <x v="3"/>
    <n v="9"/>
  </r>
  <r>
    <s v=" OD0107 "/>
    <x v="0"/>
    <s v="  NV03"/>
    <x v="2"/>
    <x v="2"/>
    <s v="36.000đ"/>
    <n v="1"/>
    <n v="36000"/>
    <x v="113"/>
    <x v="6"/>
    <s v="08:30"/>
    <x v="3"/>
    <n v="8"/>
  </r>
  <r>
    <s v=" OD0177 "/>
    <x v="4"/>
    <s v="  NV08"/>
    <x v="15"/>
    <x v="0"/>
    <s v="51k"/>
    <n v="1"/>
    <n v="51000"/>
    <x v="61"/>
    <x v="17"/>
    <s v="14:04"/>
    <x v="1"/>
    <n v="14"/>
  </r>
  <r>
    <s v=" OD0149 "/>
    <x v="1"/>
    <s v="  NV07"/>
    <x v="15"/>
    <x v="0"/>
    <s v="50.000đ"/>
    <n v="3"/>
    <n v="50000"/>
    <x v="60"/>
    <x v="0"/>
    <s v="13:10"/>
    <x v="0"/>
    <n v="13"/>
  </r>
  <r>
    <s v=" OD0108 "/>
    <x v="1"/>
    <s v="  NV15"/>
    <x v="14"/>
    <x v="6"/>
    <s v="49.000"/>
    <n v="1"/>
    <n v="49000"/>
    <x v="46"/>
    <x v="10"/>
    <s v="13:12"/>
    <x v="0"/>
    <n v="13"/>
  </r>
  <r>
    <s v=" OD0279 "/>
    <x v="0"/>
    <s v="  NV05"/>
    <x v="9"/>
    <x v="0"/>
    <s v="30.000"/>
    <n v="3"/>
    <n v="30000"/>
    <x v="34"/>
    <x v="31"/>
    <s v="09:28"/>
    <x v="3"/>
    <n v="9"/>
  </r>
  <r>
    <s v=" OD0216 "/>
    <x v="0"/>
    <s v="  NV01"/>
    <x v="15"/>
    <x v="0"/>
    <s v="49658"/>
    <n v="2"/>
    <n v="49658"/>
    <x v="136"/>
    <x v="16"/>
    <s v="11:49"/>
    <x v="0"/>
    <n v="11"/>
  </r>
  <r>
    <s v=" OD0125 "/>
    <x v="3"/>
    <s v="  NV11"/>
    <x v="5"/>
    <x v="8"/>
    <s v="38520"/>
    <n v="1"/>
    <n v="38520"/>
    <x v="137"/>
    <x v="19"/>
    <s v="11:41"/>
    <x v="0"/>
    <n v="11"/>
  </r>
  <r>
    <s v=" OD0106 "/>
    <x v="0"/>
    <s v="  NV01"/>
    <x v="10"/>
    <x v="4"/>
    <s v="46.000"/>
    <n v="2"/>
    <n v="46000"/>
    <x v="138"/>
    <x v="15"/>
    <s v="20:59"/>
    <x v="2"/>
    <n v="20"/>
  </r>
  <r>
    <s v=" OD0064 "/>
    <x v="2"/>
    <s v="  NV10"/>
    <x v="3"/>
    <x v="3"/>
    <s v="39.000đ"/>
    <n v="1"/>
    <n v="39000"/>
    <x v="78"/>
    <x v="5"/>
    <s v="16:03"/>
    <x v="1"/>
    <n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4FB90-2BC8-432D-B2DA-0DD1B2E16E88}"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8:N64" firstHeaderRow="1" firstDataRow="1" firstDataCol="1"/>
  <pivotFields count="15">
    <pivotField showAll="0"/>
    <pivotField showAll="0">
      <items count="6">
        <item x="0"/>
        <item x="3"/>
        <item x="4"/>
        <item x="1"/>
        <item x="2"/>
        <item t="default"/>
      </items>
    </pivotField>
    <pivotField showAll="0"/>
    <pivotField axis="axisRow" showAll="0" measureFilter="1">
      <items count="23">
        <item x="7"/>
        <item x="12"/>
        <item x="2"/>
        <item x="9"/>
        <item x="19"/>
        <item x="21"/>
        <item x="0"/>
        <item x="17"/>
        <item x="6"/>
        <item x="15"/>
        <item x="13"/>
        <item x="18"/>
        <item x="3"/>
        <item x="5"/>
        <item x="8"/>
        <item x="14"/>
        <item x="1"/>
        <item x="11"/>
        <item x="20"/>
        <item x="4"/>
        <item x="10"/>
        <item x="16"/>
        <item t="default"/>
      </items>
    </pivotField>
    <pivotField showAll="0">
      <items count="10">
        <item x="5"/>
        <item x="0"/>
        <item x="2"/>
        <item x="7"/>
        <item x="8"/>
        <item x="3"/>
        <item x="6"/>
        <item x="1"/>
        <item x="4"/>
        <item t="default"/>
      </items>
    </pivotField>
    <pivotField showAll="0"/>
    <pivotField dataField="1" showAll="0"/>
    <pivotField showAll="0"/>
    <pivotField showAll="0"/>
    <pivotField numFmtId="165" showAll="0">
      <items count="40">
        <item x="0"/>
        <item x="22"/>
        <item x="21"/>
        <item x="33"/>
        <item x="25"/>
        <item x="38"/>
        <item x="23"/>
        <item x="37"/>
        <item x="12"/>
        <item x="36"/>
        <item x="34"/>
        <item x="35"/>
        <item x="27"/>
        <item x="30"/>
        <item x="2"/>
        <item x="1"/>
        <item x="13"/>
        <item x="29"/>
        <item x="8"/>
        <item x="26"/>
        <item x="28"/>
        <item x="19"/>
        <item x="24"/>
        <item x="14"/>
        <item x="20"/>
        <item x="11"/>
        <item x="18"/>
        <item x="5"/>
        <item x="9"/>
        <item x="6"/>
        <item x="31"/>
        <item x="16"/>
        <item x="17"/>
        <item x="32"/>
        <item x="15"/>
        <item x="4"/>
        <item x="3"/>
        <item x="7"/>
        <item x="10"/>
        <item t="default"/>
      </items>
    </pivotField>
    <pivotField showAll="0"/>
    <pivotField showAll="0">
      <items count="5">
        <item x="1"/>
        <item x="3"/>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2"/>
    </i>
    <i>
      <x v="3"/>
    </i>
    <i>
      <x v="6"/>
    </i>
    <i>
      <x v="20"/>
    </i>
    <i t="grand">
      <x/>
    </i>
  </rowItems>
  <colItems count="1">
    <i/>
  </colItems>
  <dataFields count="1">
    <dataField name="Sum of So_Luong" fld="6" baseField="0" baseItem="0"/>
  </dataField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D39A27-BFD6-4F3A-8D7A-C13C56669AFC}" name="PivotTable4"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M33:O38" firstHeaderRow="0" firstDataRow="1" firstDataCol="1"/>
  <pivotFields count="15">
    <pivotField dataField="1" showAll="0"/>
    <pivotField showAll="0">
      <items count="6">
        <item x="0"/>
        <item x="3"/>
        <item x="4"/>
        <item x="1"/>
        <item x="2"/>
        <item t="default"/>
      </items>
    </pivotField>
    <pivotField showAll="0"/>
    <pivotField showAll="0"/>
    <pivotField showAll="0">
      <items count="10">
        <item x="5"/>
        <item x="0"/>
        <item x="2"/>
        <item x="7"/>
        <item x="8"/>
        <item x="3"/>
        <item x="6"/>
        <item x="1"/>
        <item x="4"/>
        <item t="default"/>
      </items>
    </pivotField>
    <pivotField showAll="0"/>
    <pivotField showAll="0"/>
    <pivotField showAll="0"/>
    <pivotField dataField="1" showAll="0"/>
    <pivotField numFmtId="165" showAll="0">
      <items count="40">
        <item x="0"/>
        <item x="22"/>
        <item x="21"/>
        <item x="33"/>
        <item x="25"/>
        <item x="38"/>
        <item x="23"/>
        <item x="37"/>
        <item x="12"/>
        <item x="36"/>
        <item x="34"/>
        <item x="35"/>
        <item x="27"/>
        <item x="30"/>
        <item x="2"/>
        <item x="1"/>
        <item x="13"/>
        <item x="29"/>
        <item x="8"/>
        <item x="26"/>
        <item x="28"/>
        <item x="19"/>
        <item x="24"/>
        <item x="14"/>
        <item x="20"/>
        <item x="11"/>
        <item x="18"/>
        <item x="5"/>
        <item x="9"/>
        <item x="6"/>
        <item x="31"/>
        <item x="16"/>
        <item x="17"/>
        <item x="32"/>
        <item x="15"/>
        <item x="4"/>
        <item x="3"/>
        <item x="7"/>
        <item x="10"/>
        <item t="default"/>
      </items>
    </pivotField>
    <pivotField showAll="0"/>
    <pivotField axis="axisRow" showAll="0">
      <items count="5">
        <item x="1"/>
        <item x="3"/>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
    <i>
      <x/>
    </i>
    <i>
      <x v="1"/>
    </i>
    <i>
      <x v="2"/>
    </i>
    <i>
      <x v="3"/>
    </i>
    <i t="grand">
      <x/>
    </i>
  </rowItems>
  <colFields count="1">
    <field x="-2"/>
  </colFields>
  <colItems count="2">
    <i>
      <x/>
    </i>
    <i i="1">
      <x v="1"/>
    </i>
  </colItems>
  <dataFields count="2">
    <dataField name="Sum of Doanh Thu" fld="8" baseField="0" baseItem="0"/>
    <dataField name="Count of Mã"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68B7429-1F7D-4AC0-BEF3-CBC597DD5DE8}" name="Pivo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M1:N11" firstHeaderRow="1" firstDataRow="1" firstDataCol="1"/>
  <pivotFields count="15">
    <pivotField showAll="0"/>
    <pivotField showAll="0">
      <items count="6">
        <item x="0"/>
        <item x="3"/>
        <item x="4"/>
        <item x="1"/>
        <item x="2"/>
        <item t="default"/>
      </items>
    </pivotField>
    <pivotField showAll="0"/>
    <pivotField showAll="0"/>
    <pivotField axis="axisRow" showAll="0">
      <items count="10">
        <item x="5"/>
        <item x="0"/>
        <item x="2"/>
        <item x="7"/>
        <item x="8"/>
        <item x="3"/>
        <item x="6"/>
        <item x="1"/>
        <item x="4"/>
        <item t="default"/>
      </items>
    </pivotField>
    <pivotField showAll="0"/>
    <pivotField showAll="0"/>
    <pivotField showAll="0"/>
    <pivotField dataField="1" showAll="0"/>
    <pivotField numFmtId="165" showAll="0">
      <items count="40">
        <item x="0"/>
        <item x="22"/>
        <item x="21"/>
        <item x="33"/>
        <item x="25"/>
        <item x="38"/>
        <item x="23"/>
        <item x="37"/>
        <item x="12"/>
        <item x="36"/>
        <item x="34"/>
        <item x="35"/>
        <item x="27"/>
        <item x="30"/>
        <item x="2"/>
        <item x="1"/>
        <item x="13"/>
        <item x="29"/>
        <item x="8"/>
        <item x="26"/>
        <item x="28"/>
        <item x="19"/>
        <item x="24"/>
        <item x="14"/>
        <item x="20"/>
        <item x="11"/>
        <item x="18"/>
        <item x="5"/>
        <item x="9"/>
        <item x="6"/>
        <item x="31"/>
        <item x="16"/>
        <item x="17"/>
        <item x="32"/>
        <item x="15"/>
        <item x="4"/>
        <item x="3"/>
        <item x="7"/>
        <item x="10"/>
        <item t="default"/>
      </items>
    </pivotField>
    <pivotField showAll="0"/>
    <pivotField showAll="0">
      <items count="5">
        <item x="1"/>
        <item x="3"/>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10">
    <i>
      <x/>
    </i>
    <i>
      <x v="1"/>
    </i>
    <i>
      <x v="2"/>
    </i>
    <i>
      <x v="3"/>
    </i>
    <i>
      <x v="4"/>
    </i>
    <i>
      <x v="5"/>
    </i>
    <i>
      <x v="6"/>
    </i>
    <i>
      <x v="7"/>
    </i>
    <i>
      <x v="8"/>
    </i>
    <i t="grand">
      <x/>
    </i>
  </rowItems>
  <colItems count="1">
    <i/>
  </colItems>
  <dataFields count="1">
    <dataField name="Sum of Doanh Thu" fld="8" baseField="0" baseItem="0"/>
  </dataFields>
  <chartFormats count="11">
    <chartFormat chart="0" format="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0"/>
          </reference>
        </references>
      </pivotArea>
    </chartFormat>
    <chartFormat chart="4" format="12">
      <pivotArea type="data" outline="0" fieldPosition="0">
        <references count="2">
          <reference field="4294967294" count="1" selected="0">
            <x v="0"/>
          </reference>
          <reference field="4" count="1" selected="0">
            <x v="0"/>
          </reference>
        </references>
      </pivotArea>
    </chartFormat>
    <chartFormat chart="4" format="13">
      <pivotArea type="data" outline="0" fieldPosition="0">
        <references count="2">
          <reference field="4294967294" count="1" selected="0">
            <x v="0"/>
          </reference>
          <reference field="4" count="1" selected="0">
            <x v="1"/>
          </reference>
        </references>
      </pivotArea>
    </chartFormat>
    <chartFormat chart="4" format="14">
      <pivotArea type="data" outline="0" fieldPosition="0">
        <references count="2">
          <reference field="4294967294" count="1" selected="0">
            <x v="0"/>
          </reference>
          <reference field="4" count="1" selected="0">
            <x v="2"/>
          </reference>
        </references>
      </pivotArea>
    </chartFormat>
    <chartFormat chart="4" format="15">
      <pivotArea type="data" outline="0" fieldPosition="0">
        <references count="2">
          <reference field="4294967294" count="1" selected="0">
            <x v="0"/>
          </reference>
          <reference field="4" count="1" selected="0">
            <x v="3"/>
          </reference>
        </references>
      </pivotArea>
    </chartFormat>
    <chartFormat chart="4" format="16">
      <pivotArea type="data" outline="0" fieldPosition="0">
        <references count="2">
          <reference field="4294967294" count="1" selected="0">
            <x v="0"/>
          </reference>
          <reference field="4" count="1" selected="0">
            <x v="4"/>
          </reference>
        </references>
      </pivotArea>
    </chartFormat>
    <chartFormat chart="4" format="17">
      <pivotArea type="data" outline="0" fieldPosition="0">
        <references count="2">
          <reference field="4294967294" count="1" selected="0">
            <x v="0"/>
          </reference>
          <reference field="4" count="1" selected="0">
            <x v="5"/>
          </reference>
        </references>
      </pivotArea>
    </chartFormat>
    <chartFormat chart="4" format="18">
      <pivotArea type="data" outline="0" fieldPosition="0">
        <references count="2">
          <reference field="4294967294" count="1" selected="0">
            <x v="0"/>
          </reference>
          <reference field="4" count="1" selected="0">
            <x v="6"/>
          </reference>
        </references>
      </pivotArea>
    </chartFormat>
    <chartFormat chart="4" format="19">
      <pivotArea type="data" outline="0" fieldPosition="0">
        <references count="2">
          <reference field="4294967294" count="1" selected="0">
            <x v="0"/>
          </reference>
          <reference field="4" count="1" selected="0">
            <x v="7"/>
          </reference>
        </references>
      </pivotArea>
    </chartFormat>
    <chartFormat chart="4" format="20">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6080E9-E507-4033-948C-8FA2BDBC22F1}"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63:B69" firstHeaderRow="1" firstDataRow="1" firstDataCol="1"/>
  <pivotFields count="15">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10">
        <item x="5"/>
        <item x="0"/>
        <item x="2"/>
        <item x="7"/>
        <item x="8"/>
        <item x="3"/>
        <item x="6"/>
        <item x="1"/>
        <item x="4"/>
        <item t="default"/>
      </items>
    </pivotField>
    <pivotField showAll="0"/>
    <pivotField showAll="0"/>
    <pivotField showAll="0"/>
    <pivotField dataField="1" showAll="0"/>
    <pivotField numFmtId="165" showAll="0">
      <items count="40">
        <item x="0"/>
        <item x="22"/>
        <item x="21"/>
        <item x="33"/>
        <item x="25"/>
        <item x="38"/>
        <item x="23"/>
        <item x="37"/>
        <item x="12"/>
        <item x="36"/>
        <item x="34"/>
        <item x="35"/>
        <item x="27"/>
        <item x="30"/>
        <item x="2"/>
        <item x="1"/>
        <item x="13"/>
        <item x="29"/>
        <item x="8"/>
        <item x="26"/>
        <item x="28"/>
        <item x="19"/>
        <item x="24"/>
        <item x="14"/>
        <item x="20"/>
        <item x="11"/>
        <item x="18"/>
        <item x="5"/>
        <item x="9"/>
        <item x="6"/>
        <item x="31"/>
        <item x="16"/>
        <item x="17"/>
        <item x="32"/>
        <item x="15"/>
        <item x="4"/>
        <item x="3"/>
        <item x="7"/>
        <item x="10"/>
        <item t="default"/>
      </items>
    </pivotField>
    <pivotField showAll="0"/>
    <pivotField showAll="0">
      <items count="5">
        <item x="1"/>
        <item x="3"/>
        <item x="2"/>
        <item x="0"/>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1"/>
    </i>
    <i>
      <x v="4"/>
    </i>
    <i>
      <x v="3"/>
    </i>
    <i>
      <x v="2"/>
    </i>
    <i>
      <x/>
    </i>
    <i t="grand">
      <x/>
    </i>
  </rowItems>
  <colItems count="1">
    <i/>
  </colItems>
  <dataFields count="1">
    <dataField name="Sum of Doanh Thu" fld="8"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A9545A-CD5B-4D51-A9C4-CED41C390564}"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1" firstHeaderRow="1" firstDataRow="1" firstDataCol="1"/>
  <pivotFields count="15">
    <pivotField showAll="0"/>
    <pivotField showAll="0">
      <items count="6">
        <item x="0"/>
        <item x="3"/>
        <item x="4"/>
        <item x="1"/>
        <item x="2"/>
        <item t="default"/>
      </items>
    </pivotField>
    <pivotField showAll="0"/>
    <pivotField showAll="0"/>
    <pivotField showAll="0">
      <items count="10">
        <item x="5"/>
        <item x="0"/>
        <item x="2"/>
        <item x="7"/>
        <item x="8"/>
        <item x="3"/>
        <item x="6"/>
        <item x="1"/>
        <item x="4"/>
        <item t="default"/>
      </items>
    </pivotField>
    <pivotField showAll="0"/>
    <pivotField showAll="0"/>
    <pivotField showAll="0"/>
    <pivotField dataField="1" showAll="0"/>
    <pivotField axis="axisRow" numFmtId="165" showAll="0">
      <items count="40">
        <item x="0"/>
        <item x="22"/>
        <item x="21"/>
        <item x="33"/>
        <item x="25"/>
        <item x="38"/>
        <item x="23"/>
        <item x="37"/>
        <item x="12"/>
        <item x="36"/>
        <item x="34"/>
        <item x="35"/>
        <item x="27"/>
        <item x="30"/>
        <item x="2"/>
        <item x="1"/>
        <item x="13"/>
        <item x="29"/>
        <item x="8"/>
        <item x="26"/>
        <item x="28"/>
        <item x="19"/>
        <item x="24"/>
        <item x="14"/>
        <item x="20"/>
        <item x="11"/>
        <item x="18"/>
        <item x="5"/>
        <item x="9"/>
        <item x="6"/>
        <item x="31"/>
        <item x="16"/>
        <item x="17"/>
        <item x="32"/>
        <item x="15"/>
        <item x="4"/>
        <item x="3"/>
        <item x="7"/>
        <item x="10"/>
        <item t="default"/>
      </items>
    </pivotField>
    <pivotField showAll="0"/>
    <pivotField showAll="0">
      <items count="5">
        <item x="1"/>
        <item x="3"/>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9"/>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Doanh Thu" fld="8"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ửa_Hàng" xr10:uid="{5B52B778-50BF-4B70-B9CE-44213A0B7C9B}" sourceName="Cửa Hàng">
  <pivotTables>
    <pivotTable tabId="2" name="PivotTable1"/>
    <pivotTable tabId="2" name="PivotTable2"/>
    <pivotTable tabId="2" name="PivotTable3"/>
    <pivotTable tabId="2" name="PivotTable4"/>
    <pivotTable tabId="2" name="PivotTable5"/>
  </pivotTables>
  <data>
    <tabular pivotCacheId="1005843757">
      <items count="5">
        <i x="0" s="1"/>
        <i x="3" s="1"/>
        <i x="4"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i_Do" xr10:uid="{FC6A5238-AE7D-47AF-AB16-18554BBFB112}" sourceName="Loai_Do">
  <pivotTables>
    <pivotTable tabId="2" name="PivotTable1"/>
    <pivotTable tabId="2" name="PivotTable2"/>
    <pivotTable tabId="2" name="PivotTable3"/>
    <pivotTable tabId="2" name="PivotTable4"/>
    <pivotTable tabId="2" name="PivotTable5"/>
  </pivotTables>
  <data>
    <tabular pivotCacheId="1005843757">
      <items count="9">
        <i x="5" s="1"/>
        <i x="0" s="1"/>
        <i x="2" s="1"/>
        <i x="7" s="1"/>
        <i x="8" s="1"/>
        <i x="3" s="1"/>
        <i x="6"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hung_Giờ" xr10:uid="{8F15B25B-9F9C-41D7-A11E-45892F63A5D9}" sourceName="Khung Giờ">
  <pivotTables>
    <pivotTable tabId="2" name="PivotTable1"/>
    <pivotTable tabId="2" name="PivotTable2"/>
    <pivotTable tabId="2" name="PivotTable3"/>
    <pivotTable tabId="2" name="PivotTable4"/>
    <pivotTable tabId="2" name="PivotTable5"/>
  </pivotTables>
  <data>
    <tabular pivotCacheId="1005843757">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ửa Hàng 1" xr10:uid="{60D1EB20-5D26-4025-9764-AC8D5F61AD17}" cache="Slicer_Cửa_Hàng" caption="Cửa Hàng" style="SlicerStyleDark1" rowHeight="241300"/>
  <slicer name="Loai_Do 1" xr10:uid="{87E65EC5-C93F-4EBB-A57C-ED04DAB5070C}" cache="Slicer_Loai_Do" caption="Loai_Do" startItem="1" style="SlicerStyleDark1" rowHeight="241300"/>
  <slicer name="Khung Giờ 1" xr10:uid="{144B29D7-C979-4AC0-AFF1-7E304F3BE160}" cache="Slicer_Khung_Giờ" caption="Khung Giờ"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ửa Hàng" xr10:uid="{FBFFE648-FBBE-4823-BE38-4E4E81535583}" cache="Slicer_Cửa_Hàng" caption="Cửa Hàng" style="SlicerStyleDark1" rowHeight="241300"/>
  <slicer name="Loai_Do" xr10:uid="{DB9F5CF4-C862-4418-8DF2-01EE72FD158B}" cache="Slicer_Loai_Do" caption="Loai_Do" style="SlicerStyleDark1" rowHeight="241300"/>
  <slicer name="Khung Giờ" xr10:uid="{C7F54031-D65D-4FFA-9FDD-02ECB4F17F4B}" cache="Slicer_Khung_Giờ" caption="Khung Giờ" style="SlicerStyleDark1"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08FC-2489-47D9-ABF4-C2DC055E7BA2}">
  <dimension ref="A1:U3"/>
  <sheetViews>
    <sheetView showGridLines="0" tabSelected="1" zoomScale="90" zoomScaleNormal="90" workbookViewId="0">
      <selection activeCell="X19" sqref="X19"/>
    </sheetView>
  </sheetViews>
  <sheetFormatPr defaultRowHeight="15" x14ac:dyDescent="0.25"/>
  <cols>
    <col min="1" max="16384" width="9.140625" style="14"/>
  </cols>
  <sheetData>
    <row r="1" spans="1:21" ht="15" customHeight="1" x14ac:dyDescent="0.25">
      <c r="A1" s="15" t="s">
        <v>738</v>
      </c>
      <c r="B1" s="16"/>
      <c r="C1" s="16"/>
      <c r="D1" s="16"/>
      <c r="E1" s="16"/>
      <c r="F1" s="16"/>
      <c r="G1" s="16"/>
      <c r="H1" s="16"/>
      <c r="I1" s="16"/>
      <c r="J1" s="16"/>
      <c r="K1" s="16"/>
      <c r="L1" s="16"/>
      <c r="M1" s="16"/>
      <c r="N1" s="16"/>
      <c r="O1" s="16"/>
      <c r="P1" s="16"/>
      <c r="Q1" s="16"/>
      <c r="R1" s="16"/>
      <c r="S1" s="16"/>
      <c r="T1" s="16"/>
      <c r="U1" s="17"/>
    </row>
    <row r="2" spans="1:21" ht="15" customHeight="1" x14ac:dyDescent="0.25">
      <c r="A2" s="18"/>
      <c r="B2" s="19"/>
      <c r="C2" s="19"/>
      <c r="D2" s="19"/>
      <c r="E2" s="19"/>
      <c r="F2" s="19"/>
      <c r="G2" s="19"/>
      <c r="H2" s="19"/>
      <c r="I2" s="19"/>
      <c r="J2" s="19"/>
      <c r="K2" s="19"/>
      <c r="L2" s="19"/>
      <c r="M2" s="19"/>
      <c r="N2" s="19"/>
      <c r="O2" s="19"/>
      <c r="P2" s="19"/>
      <c r="Q2" s="19"/>
      <c r="R2" s="19"/>
      <c r="S2" s="19"/>
      <c r="T2" s="19"/>
      <c r="U2" s="20"/>
    </row>
    <row r="3" spans="1:21" ht="15" customHeight="1" x14ac:dyDescent="0.25">
      <c r="A3" s="21"/>
      <c r="B3" s="22"/>
      <c r="C3" s="22"/>
      <c r="D3" s="22"/>
      <c r="E3" s="22"/>
      <c r="F3" s="22"/>
      <c r="G3" s="22"/>
      <c r="H3" s="22"/>
      <c r="I3" s="22"/>
      <c r="J3" s="22"/>
      <c r="K3" s="22"/>
      <c r="L3" s="22"/>
      <c r="M3" s="22"/>
      <c r="N3" s="22"/>
      <c r="O3" s="22"/>
      <c r="P3" s="22"/>
      <c r="Q3" s="22"/>
      <c r="R3" s="22"/>
      <c r="S3" s="22"/>
      <c r="T3" s="22"/>
      <c r="U3" s="23"/>
    </row>
  </sheetData>
  <mergeCells count="1">
    <mergeCell ref="A1:U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164E9-337B-47A2-B1E8-F44AD05D58D2}">
  <dimension ref="A1:O69"/>
  <sheetViews>
    <sheetView topLeftCell="C13" zoomScale="80" zoomScaleNormal="80" workbookViewId="0">
      <selection activeCell="K36" sqref="K36"/>
    </sheetView>
  </sheetViews>
  <sheetFormatPr defaultRowHeight="15" x14ac:dyDescent="0.25"/>
  <cols>
    <col min="1" max="1" width="22.28515625" bestFit="1" customWidth="1"/>
    <col min="2" max="2" width="25.140625" bestFit="1" customWidth="1"/>
    <col min="13" max="13" width="22.28515625" bestFit="1" customWidth="1"/>
    <col min="14" max="14" width="23.42578125" bestFit="1" customWidth="1"/>
    <col min="15" max="15" width="17.28515625" bestFit="1" customWidth="1"/>
  </cols>
  <sheetData>
    <row r="1" spans="1:14" x14ac:dyDescent="0.25">
      <c r="A1" s="10" t="s">
        <v>729</v>
      </c>
      <c r="B1" t="s">
        <v>731</v>
      </c>
      <c r="M1" s="10" t="s">
        <v>729</v>
      </c>
      <c r="N1" t="s">
        <v>731</v>
      </c>
    </row>
    <row r="2" spans="1:14" x14ac:dyDescent="0.25">
      <c r="A2" s="11">
        <v>45303</v>
      </c>
      <c r="B2" s="13">
        <v>441312</v>
      </c>
      <c r="M2" s="12" t="s">
        <v>34</v>
      </c>
      <c r="N2" s="13">
        <v>987922</v>
      </c>
    </row>
    <row r="3" spans="1:14" x14ac:dyDescent="0.25">
      <c r="A3" s="11">
        <v>45334</v>
      </c>
      <c r="B3" s="13">
        <v>118962</v>
      </c>
      <c r="M3" s="12" t="s">
        <v>29</v>
      </c>
      <c r="N3" s="13">
        <v>10510957</v>
      </c>
    </row>
    <row r="4" spans="1:14" x14ac:dyDescent="0.25">
      <c r="A4" s="11">
        <v>45363</v>
      </c>
      <c r="B4" s="13">
        <v>482078</v>
      </c>
      <c r="M4" s="12" t="s">
        <v>14</v>
      </c>
      <c r="N4" s="13">
        <v>699796</v>
      </c>
    </row>
    <row r="5" spans="1:14" x14ac:dyDescent="0.25">
      <c r="A5" s="11">
        <v>45394</v>
      </c>
      <c r="B5" s="13">
        <v>473000</v>
      </c>
      <c r="M5" s="12" t="s">
        <v>87</v>
      </c>
      <c r="N5" s="13">
        <v>1187881</v>
      </c>
    </row>
    <row r="6" spans="1:14" x14ac:dyDescent="0.25">
      <c r="A6" s="11">
        <v>45424</v>
      </c>
      <c r="B6" s="13">
        <v>134000</v>
      </c>
      <c r="M6" s="12" t="s">
        <v>112</v>
      </c>
      <c r="N6" s="13">
        <v>474767</v>
      </c>
    </row>
    <row r="7" spans="1:14" x14ac:dyDescent="0.25">
      <c r="A7" s="11">
        <v>45455</v>
      </c>
      <c r="B7" s="13">
        <v>268000</v>
      </c>
      <c r="M7" s="12" t="s">
        <v>18</v>
      </c>
      <c r="N7" s="13">
        <v>1278799</v>
      </c>
    </row>
    <row r="8" spans="1:14" x14ac:dyDescent="0.25">
      <c r="A8" s="11">
        <v>45485</v>
      </c>
      <c r="B8" s="13">
        <v>87321</v>
      </c>
      <c r="M8" s="12" t="s">
        <v>76</v>
      </c>
      <c r="N8" s="13">
        <v>1376678</v>
      </c>
    </row>
    <row r="9" spans="1:14" x14ac:dyDescent="0.25">
      <c r="A9" s="11">
        <v>45516</v>
      </c>
      <c r="B9" s="13">
        <v>501111</v>
      </c>
      <c r="M9" s="12" t="s">
        <v>10</v>
      </c>
      <c r="N9" s="13">
        <v>1575235</v>
      </c>
    </row>
    <row r="10" spans="1:14" x14ac:dyDescent="0.25">
      <c r="A10" s="11">
        <v>45547</v>
      </c>
      <c r="B10" s="13">
        <v>783118</v>
      </c>
      <c r="M10" s="12" t="s">
        <v>22</v>
      </c>
      <c r="N10" s="13">
        <v>4341124</v>
      </c>
    </row>
    <row r="11" spans="1:14" x14ac:dyDescent="0.25">
      <c r="A11" s="11">
        <v>45577</v>
      </c>
      <c r="B11" s="13">
        <v>229000</v>
      </c>
      <c r="M11" s="12" t="s">
        <v>730</v>
      </c>
      <c r="N11" s="13">
        <v>22433159</v>
      </c>
    </row>
    <row r="12" spans="1:14" x14ac:dyDescent="0.25">
      <c r="A12" s="11">
        <v>45608</v>
      </c>
      <c r="B12" s="13">
        <v>257906</v>
      </c>
    </row>
    <row r="13" spans="1:14" x14ac:dyDescent="0.25">
      <c r="A13" s="11">
        <v>45627</v>
      </c>
      <c r="B13" s="13">
        <v>311874</v>
      </c>
    </row>
    <row r="14" spans="1:14" x14ac:dyDescent="0.25">
      <c r="A14" s="11">
        <v>45628</v>
      </c>
      <c r="B14" s="13">
        <v>41000</v>
      </c>
    </row>
    <row r="15" spans="1:14" x14ac:dyDescent="0.25">
      <c r="A15" s="11">
        <v>45629</v>
      </c>
      <c r="B15" s="13">
        <v>710011</v>
      </c>
    </row>
    <row r="16" spans="1:14" x14ac:dyDescent="0.25">
      <c r="A16" s="11">
        <v>45630</v>
      </c>
      <c r="B16" s="13">
        <v>326218</v>
      </c>
    </row>
    <row r="17" spans="1:2" x14ac:dyDescent="0.25">
      <c r="A17" s="11">
        <v>45631</v>
      </c>
      <c r="B17" s="13">
        <v>819005</v>
      </c>
    </row>
    <row r="18" spans="1:2" x14ac:dyDescent="0.25">
      <c r="A18" s="11">
        <v>45632</v>
      </c>
      <c r="B18" s="13">
        <v>632943</v>
      </c>
    </row>
    <row r="19" spans="1:2" x14ac:dyDescent="0.25">
      <c r="A19" s="11">
        <v>45633</v>
      </c>
      <c r="B19" s="13">
        <v>506776</v>
      </c>
    </row>
    <row r="20" spans="1:2" x14ac:dyDescent="0.25">
      <c r="A20" s="11">
        <v>45634</v>
      </c>
      <c r="B20" s="13">
        <v>278252</v>
      </c>
    </row>
    <row r="21" spans="1:2" x14ac:dyDescent="0.25">
      <c r="A21" s="11">
        <v>45635</v>
      </c>
      <c r="B21" s="13">
        <v>281000</v>
      </c>
    </row>
    <row r="22" spans="1:2" x14ac:dyDescent="0.25">
      <c r="A22" s="11">
        <v>45636</v>
      </c>
      <c r="B22" s="13">
        <v>600000</v>
      </c>
    </row>
    <row r="23" spans="1:2" x14ac:dyDescent="0.25">
      <c r="A23" s="11">
        <v>45637</v>
      </c>
      <c r="B23" s="13">
        <v>450671</v>
      </c>
    </row>
    <row r="24" spans="1:2" x14ac:dyDescent="0.25">
      <c r="A24" s="11">
        <v>45638</v>
      </c>
      <c r="B24" s="13">
        <v>1114554</v>
      </c>
    </row>
    <row r="25" spans="1:2" x14ac:dyDescent="0.25">
      <c r="A25" s="11">
        <v>45639</v>
      </c>
      <c r="B25" s="13">
        <v>1424153</v>
      </c>
    </row>
    <row r="26" spans="1:2" x14ac:dyDescent="0.25">
      <c r="A26" s="11">
        <v>45640</v>
      </c>
      <c r="B26" s="13">
        <v>846324</v>
      </c>
    </row>
    <row r="27" spans="1:2" x14ac:dyDescent="0.25">
      <c r="A27" s="11">
        <v>45641</v>
      </c>
      <c r="B27" s="13">
        <v>926627</v>
      </c>
    </row>
    <row r="28" spans="1:2" x14ac:dyDescent="0.25">
      <c r="A28" s="11">
        <v>45642</v>
      </c>
      <c r="B28" s="13">
        <v>731727</v>
      </c>
    </row>
    <row r="29" spans="1:2" x14ac:dyDescent="0.25">
      <c r="A29" s="11">
        <v>45643</v>
      </c>
      <c r="B29" s="13">
        <v>649159</v>
      </c>
    </row>
    <row r="30" spans="1:2" x14ac:dyDescent="0.25">
      <c r="A30" s="11">
        <v>45644</v>
      </c>
      <c r="B30" s="13">
        <v>411433</v>
      </c>
    </row>
    <row r="31" spans="1:2" x14ac:dyDescent="0.25">
      <c r="A31" s="11">
        <v>45645</v>
      </c>
      <c r="B31" s="13">
        <v>1158642</v>
      </c>
    </row>
    <row r="32" spans="1:2" x14ac:dyDescent="0.25">
      <c r="A32" s="11">
        <v>45646</v>
      </c>
      <c r="B32" s="13">
        <v>698000</v>
      </c>
    </row>
    <row r="33" spans="1:15" x14ac:dyDescent="0.25">
      <c r="A33" s="11">
        <v>45647</v>
      </c>
      <c r="B33" s="13">
        <v>1311775</v>
      </c>
      <c r="M33" s="10" t="s">
        <v>729</v>
      </c>
      <c r="N33" t="s">
        <v>731</v>
      </c>
      <c r="O33" t="s">
        <v>736</v>
      </c>
    </row>
    <row r="34" spans="1:15" x14ac:dyDescent="0.25">
      <c r="A34" s="11">
        <v>45648</v>
      </c>
      <c r="B34" s="13">
        <v>664184</v>
      </c>
      <c r="M34" s="12" t="s">
        <v>732</v>
      </c>
      <c r="N34" s="13">
        <v>4285908</v>
      </c>
      <c r="O34" s="13">
        <v>58</v>
      </c>
    </row>
    <row r="35" spans="1:15" x14ac:dyDescent="0.25">
      <c r="A35" s="11">
        <v>45649</v>
      </c>
      <c r="B35" s="13">
        <v>590922</v>
      </c>
      <c r="M35" s="12" t="s">
        <v>733</v>
      </c>
      <c r="N35" s="13">
        <v>8332711</v>
      </c>
      <c r="O35" s="13">
        <v>103</v>
      </c>
    </row>
    <row r="36" spans="1:15" x14ac:dyDescent="0.25">
      <c r="A36" s="11">
        <v>45650</v>
      </c>
      <c r="B36" s="13">
        <v>822669</v>
      </c>
      <c r="M36" s="12" t="s">
        <v>734</v>
      </c>
      <c r="N36" s="13">
        <v>3983501</v>
      </c>
      <c r="O36" s="13">
        <v>57</v>
      </c>
    </row>
    <row r="37" spans="1:15" x14ac:dyDescent="0.25">
      <c r="A37" s="11">
        <v>45651</v>
      </c>
      <c r="B37" s="13">
        <v>648689</v>
      </c>
      <c r="M37" s="12" t="s">
        <v>735</v>
      </c>
      <c r="N37" s="13">
        <v>5831039</v>
      </c>
      <c r="O37" s="13">
        <v>82</v>
      </c>
    </row>
    <row r="38" spans="1:15" x14ac:dyDescent="0.25">
      <c r="A38" s="11">
        <v>45652</v>
      </c>
      <c r="B38" s="13">
        <v>365793</v>
      </c>
      <c r="M38" s="12" t="s">
        <v>730</v>
      </c>
      <c r="N38" s="13">
        <v>22433159</v>
      </c>
      <c r="O38" s="13">
        <v>300</v>
      </c>
    </row>
    <row r="39" spans="1:15" x14ac:dyDescent="0.25">
      <c r="A39" s="11">
        <v>45653</v>
      </c>
      <c r="B39" s="13">
        <v>946504</v>
      </c>
    </row>
    <row r="40" spans="1:15" x14ac:dyDescent="0.25">
      <c r="A40" s="11">
        <v>45654</v>
      </c>
      <c r="B40" s="13">
        <v>388446</v>
      </c>
    </row>
    <row r="41" spans="1:15" x14ac:dyDescent="0.25">
      <c r="A41" s="11" t="s">
        <v>730</v>
      </c>
      <c r="B41" s="13">
        <v>22433159</v>
      </c>
    </row>
    <row r="58" spans="1:14" x14ac:dyDescent="0.25">
      <c r="M58" s="10" t="s">
        <v>729</v>
      </c>
      <c r="N58" t="s">
        <v>737</v>
      </c>
    </row>
    <row r="59" spans="1:14" x14ac:dyDescent="0.25">
      <c r="M59" s="12" t="s">
        <v>37</v>
      </c>
      <c r="N59" s="13">
        <v>29</v>
      </c>
    </row>
    <row r="60" spans="1:14" x14ac:dyDescent="0.25">
      <c r="M60" s="12" t="s">
        <v>13</v>
      </c>
      <c r="N60" s="13">
        <v>37</v>
      </c>
    </row>
    <row r="61" spans="1:14" x14ac:dyDescent="0.25">
      <c r="M61" s="12" t="s">
        <v>45</v>
      </c>
      <c r="N61" s="13">
        <v>30</v>
      </c>
    </row>
    <row r="62" spans="1:14" x14ac:dyDescent="0.25">
      <c r="M62" s="12" t="s">
        <v>6</v>
      </c>
      <c r="N62" s="13">
        <v>39</v>
      </c>
    </row>
    <row r="63" spans="1:14" x14ac:dyDescent="0.25">
      <c r="A63" s="10" t="s">
        <v>729</v>
      </c>
      <c r="B63" t="s">
        <v>731</v>
      </c>
      <c r="M63" s="12" t="s">
        <v>50</v>
      </c>
      <c r="N63" s="13">
        <v>29</v>
      </c>
    </row>
    <row r="64" spans="1:14" x14ac:dyDescent="0.25">
      <c r="A64" s="12" t="s">
        <v>708</v>
      </c>
      <c r="B64" s="13">
        <v>5274923</v>
      </c>
      <c r="M64" s="12" t="s">
        <v>730</v>
      </c>
      <c r="N64" s="13">
        <v>164</v>
      </c>
    </row>
    <row r="65" spans="1:2" x14ac:dyDescent="0.25">
      <c r="A65" s="12" t="s">
        <v>707</v>
      </c>
      <c r="B65" s="13">
        <v>4927991</v>
      </c>
    </row>
    <row r="66" spans="1:2" x14ac:dyDescent="0.25">
      <c r="A66" s="12" t="s">
        <v>706</v>
      </c>
      <c r="B66" s="13">
        <v>4233515</v>
      </c>
    </row>
    <row r="67" spans="1:2" x14ac:dyDescent="0.25">
      <c r="A67" s="12" t="s">
        <v>709</v>
      </c>
      <c r="B67" s="13">
        <v>4043363</v>
      </c>
    </row>
    <row r="68" spans="1:2" x14ac:dyDescent="0.25">
      <c r="A68" s="12" t="s">
        <v>705</v>
      </c>
      <c r="B68" s="13">
        <v>3953367</v>
      </c>
    </row>
    <row r="69" spans="1:2" x14ac:dyDescent="0.25">
      <c r="A69" s="12" t="s">
        <v>730</v>
      </c>
      <c r="B69" s="13">
        <v>22433159</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0"/>
  <sheetViews>
    <sheetView workbookViewId="0">
      <selection activeCell="G6" sqref="A1:M301"/>
    </sheetView>
  </sheetViews>
  <sheetFormatPr defaultColWidth="14.42578125" defaultRowHeight="15" customHeight="1" x14ac:dyDescent="0.25"/>
  <cols>
    <col min="1" max="1" width="10.140625" customWidth="1"/>
    <col min="2" max="2" width="14.28515625" customWidth="1"/>
    <col min="3" max="3" width="10" customWidth="1"/>
    <col min="4" max="4" width="17.5703125" customWidth="1"/>
    <col min="5" max="5" width="10.85546875" customWidth="1"/>
    <col min="6" max="6" width="10" customWidth="1"/>
    <col min="7" max="7" width="9.5703125" customWidth="1"/>
    <col min="8" max="8" width="16.7109375" customWidth="1"/>
    <col min="9" max="9" width="13" customWidth="1"/>
    <col min="10" max="10" width="14.140625" style="5" customWidth="1"/>
    <col min="11" max="11" width="10" customWidth="1"/>
    <col min="12" max="12" width="10.7109375" customWidth="1"/>
    <col min="13" max="13" width="9.28515625" customWidth="1"/>
    <col min="14" max="32" width="8.7109375" customWidth="1"/>
  </cols>
  <sheetData>
    <row r="1" spans="1:13" x14ac:dyDescent="0.25">
      <c r="A1" s="1" t="s">
        <v>422</v>
      </c>
      <c r="B1" s="1" t="s">
        <v>423</v>
      </c>
      <c r="C1" s="1" t="s">
        <v>424</v>
      </c>
      <c r="D1" s="1" t="s">
        <v>0</v>
      </c>
      <c r="E1" s="1" t="s">
        <v>1</v>
      </c>
      <c r="F1" s="1" t="s">
        <v>2</v>
      </c>
      <c r="G1" s="1" t="s">
        <v>3</v>
      </c>
      <c r="H1" s="1" t="s">
        <v>725</v>
      </c>
      <c r="I1" s="6" t="s">
        <v>726</v>
      </c>
      <c r="J1" s="3" t="s">
        <v>4</v>
      </c>
      <c r="K1" s="8" t="s">
        <v>5</v>
      </c>
      <c r="L1" s="7" t="s">
        <v>728</v>
      </c>
      <c r="M1" s="9" t="s">
        <v>727</v>
      </c>
    </row>
    <row r="2" spans="1:13" x14ac:dyDescent="0.25">
      <c r="A2" s="2" t="s">
        <v>425</v>
      </c>
      <c r="B2" s="2" t="s">
        <v>705</v>
      </c>
      <c r="C2" s="2" t="s">
        <v>710</v>
      </c>
      <c r="D2" s="2" t="s">
        <v>6</v>
      </c>
      <c r="E2" s="2" t="s">
        <v>29</v>
      </c>
      <c r="F2" s="2" t="s">
        <v>7</v>
      </c>
      <c r="G2" s="2">
        <v>1</v>
      </c>
      <c r="H2" s="2">
        <f>VALUE(
 IF(RIGHT(F2,1)="k",
    LEFT(F2,LEN(F2)-1)*1000,
    SUBSTITUTE(SUBSTITUTE(F2,"đ",""),".","")
 )
)</f>
        <v>54818</v>
      </c>
      <c r="I2" s="2">
        <f t="shared" ref="I2:I65" si="0">(G2)*(H2)</f>
        <v>54818</v>
      </c>
      <c r="J2" s="4">
        <v>45303</v>
      </c>
      <c r="K2" s="2" t="s">
        <v>8</v>
      </c>
      <c r="L2" s="2" t="str">
        <f t="shared" ref="L2:L65" si="1">IF(M2&lt;11,"Sang",
 IF(M2&lt;14,"Trua",
 IF(M2&lt;17,"Chieu","Toi")))</f>
        <v>Trua</v>
      </c>
      <c r="M2" s="2">
        <f t="shared" ref="M2:M65" si="2">HOUR(K2)</f>
        <v>11</v>
      </c>
    </row>
    <row r="3" spans="1:13" x14ac:dyDescent="0.25">
      <c r="A3" s="2" t="s">
        <v>426</v>
      </c>
      <c r="B3" s="2" t="s">
        <v>706</v>
      </c>
      <c r="C3" s="2" t="s">
        <v>711</v>
      </c>
      <c r="D3" s="2" t="s">
        <v>9</v>
      </c>
      <c r="E3" s="2" t="s">
        <v>10</v>
      </c>
      <c r="F3" s="2" t="s">
        <v>11</v>
      </c>
      <c r="G3" s="2">
        <v>3</v>
      </c>
      <c r="H3" s="2">
        <f>VALUE(
 IF(RIGHT(F3,1)="k",
    LEFT(F3,LEN(F3)-1)*1000,
    SUBSTITUTE(SUBSTITUTE(F3,"đ",""),".","")
 )
)</f>
        <v>49000</v>
      </c>
      <c r="I3" s="2">
        <f t="shared" si="0"/>
        <v>147000</v>
      </c>
      <c r="J3" s="4">
        <v>45631</v>
      </c>
      <c r="K3" s="2" t="s">
        <v>12</v>
      </c>
      <c r="L3" s="2" t="str">
        <f t="shared" si="1"/>
        <v>Chieu</v>
      </c>
      <c r="M3" s="2">
        <f t="shared" si="2"/>
        <v>14</v>
      </c>
    </row>
    <row r="4" spans="1:13" x14ac:dyDescent="0.25">
      <c r="A4" s="2" t="s">
        <v>427</v>
      </c>
      <c r="B4" s="2" t="s">
        <v>705</v>
      </c>
      <c r="C4" s="2" t="s">
        <v>712</v>
      </c>
      <c r="D4" s="2" t="s">
        <v>13</v>
      </c>
      <c r="E4" s="2" t="s">
        <v>14</v>
      </c>
      <c r="F4" s="2" t="s">
        <v>15</v>
      </c>
      <c r="G4" s="2">
        <v>1</v>
      </c>
      <c r="H4" s="2">
        <f>VALUE(
 IF(RIGHT(F4,1)="k",
    LEFT(F4,LEN(F4)-1)*1000,
    SUBSTITUTE(SUBSTITUTE(F4,"đ",""),".","")
 )
)</f>
        <v>33000</v>
      </c>
      <c r="I4" s="2">
        <f t="shared" si="0"/>
        <v>33000</v>
      </c>
      <c r="J4" s="4">
        <v>45630</v>
      </c>
      <c r="K4" s="2" t="s">
        <v>16</v>
      </c>
      <c r="L4" s="2" t="str">
        <f t="shared" si="1"/>
        <v>Trua</v>
      </c>
      <c r="M4" s="2">
        <f t="shared" si="2"/>
        <v>11</v>
      </c>
    </row>
    <row r="5" spans="1:13" x14ac:dyDescent="0.25">
      <c r="A5" s="2" t="s">
        <v>428</v>
      </c>
      <c r="B5" s="2" t="s">
        <v>707</v>
      </c>
      <c r="C5" s="2" t="s">
        <v>713</v>
      </c>
      <c r="D5" s="2" t="s">
        <v>17</v>
      </c>
      <c r="E5" s="2" t="s">
        <v>18</v>
      </c>
      <c r="F5" s="2" t="s">
        <v>19</v>
      </c>
      <c r="G5" s="2">
        <v>3</v>
      </c>
      <c r="H5" s="2">
        <f>VALUE(
 IF(RIGHT(F5,1)="k",
    LEFT(F5,LEN(F5)-1)*1000,
    SUBSTITUTE(SUBSTITUTE(F5,"đ",""),".","")
 )
)</f>
        <v>40931</v>
      </c>
      <c r="I5" s="2">
        <f t="shared" si="0"/>
        <v>122793</v>
      </c>
      <c r="J5" s="4">
        <v>45652</v>
      </c>
      <c r="K5" s="2" t="s">
        <v>20</v>
      </c>
      <c r="L5" s="2" t="str">
        <f t="shared" si="1"/>
        <v>Toi</v>
      </c>
      <c r="M5" s="2">
        <f t="shared" si="2"/>
        <v>20</v>
      </c>
    </row>
    <row r="6" spans="1:13" x14ac:dyDescent="0.25">
      <c r="A6" s="2" t="s">
        <v>429</v>
      </c>
      <c r="B6" s="2" t="s">
        <v>705</v>
      </c>
      <c r="C6" s="2" t="s">
        <v>710</v>
      </c>
      <c r="D6" s="2" t="s">
        <v>21</v>
      </c>
      <c r="E6" s="2" t="s">
        <v>22</v>
      </c>
      <c r="F6" s="2" t="s">
        <v>23</v>
      </c>
      <c r="G6" s="2">
        <v>1</v>
      </c>
      <c r="H6" s="2">
        <f>VALUE(
 IF(RIGHT(F6,1)="k",
    LEFT(F6,LEN(F6)-1)*1000,
    SUBSTITUTE(SUBSTITUTE(F6,"đ",""),".","")
 )
)</f>
        <v>41000</v>
      </c>
      <c r="I6" s="2">
        <f t="shared" si="0"/>
        <v>41000</v>
      </c>
      <c r="J6" s="4">
        <v>45651</v>
      </c>
      <c r="K6" s="2" t="s">
        <v>24</v>
      </c>
      <c r="L6" s="2" t="str">
        <f t="shared" si="1"/>
        <v>Toi</v>
      </c>
      <c r="M6" s="2">
        <f t="shared" si="2"/>
        <v>18</v>
      </c>
    </row>
    <row r="7" spans="1:13" x14ac:dyDescent="0.25">
      <c r="A7" s="2" t="s">
        <v>430</v>
      </c>
      <c r="B7" s="2" t="s">
        <v>708</v>
      </c>
      <c r="C7" s="2" t="s">
        <v>714</v>
      </c>
      <c r="D7" s="2" t="s">
        <v>25</v>
      </c>
      <c r="E7" s="2" t="s">
        <v>18</v>
      </c>
      <c r="F7" s="2" t="s">
        <v>26</v>
      </c>
      <c r="G7" s="2">
        <v>2</v>
      </c>
      <c r="H7" s="2">
        <f>VALUE(
 IF(RIGHT(F7,1)="k",
    LEFT(F7,LEN(F7)-1)*1000,
    SUBSTITUTE(SUBSTITUTE(F7,"đ",""),".","")
 )
)</f>
        <v>39258</v>
      </c>
      <c r="I7" s="2">
        <f t="shared" si="0"/>
        <v>78516</v>
      </c>
      <c r="J7" s="4">
        <v>45643</v>
      </c>
      <c r="K7" s="2" t="s">
        <v>27</v>
      </c>
      <c r="L7" s="2" t="str">
        <f t="shared" si="1"/>
        <v>Toi</v>
      </c>
      <c r="M7" s="2">
        <f t="shared" si="2"/>
        <v>18</v>
      </c>
    </row>
    <row r="8" spans="1:13" x14ac:dyDescent="0.25">
      <c r="A8" s="2" t="s">
        <v>431</v>
      </c>
      <c r="B8" s="2" t="s">
        <v>706</v>
      </c>
      <c r="C8" s="2" t="s">
        <v>710</v>
      </c>
      <c r="D8" s="2" t="s">
        <v>28</v>
      </c>
      <c r="E8" s="2" t="s">
        <v>29</v>
      </c>
      <c r="F8" s="2" t="s">
        <v>30</v>
      </c>
      <c r="G8" s="2">
        <v>1</v>
      </c>
      <c r="H8" s="2">
        <f>VALUE(
 IF(RIGHT(F8,1)="k",
    LEFT(F8,LEN(F8)-1)*1000,
    SUBSTITUTE(SUBSTITUTE(F8,"đ",""),".","")
 )
)</f>
        <v>35000</v>
      </c>
      <c r="I8" s="2">
        <f t="shared" si="0"/>
        <v>35000</v>
      </c>
      <c r="J8" s="4">
        <v>45645</v>
      </c>
      <c r="K8" s="2" t="s">
        <v>31</v>
      </c>
      <c r="L8" s="2" t="str">
        <f t="shared" si="1"/>
        <v>Sang</v>
      </c>
      <c r="M8" s="2">
        <f t="shared" si="2"/>
        <v>8</v>
      </c>
    </row>
    <row r="9" spans="1:13" x14ac:dyDescent="0.25">
      <c r="A9" s="2" t="s">
        <v>432</v>
      </c>
      <c r="B9" s="2" t="s">
        <v>705</v>
      </c>
      <c r="C9" s="2" t="s">
        <v>715</v>
      </c>
      <c r="D9" s="2" t="s">
        <v>6</v>
      </c>
      <c r="E9" s="2" t="s">
        <v>29</v>
      </c>
      <c r="F9" s="2" t="s">
        <v>32</v>
      </c>
      <c r="G9" s="2">
        <v>4</v>
      </c>
      <c r="H9" s="2">
        <f>VALUE(
 IF(RIGHT(F9,1)="k",
    LEFT(F9,LEN(F9)-1)*1000,
    SUBSTITUTE(SUBSTITUTE(F9,"đ",""),".","")
 )
)</f>
        <v>55762</v>
      </c>
      <c r="I9" s="2">
        <f t="shared" si="0"/>
        <v>223048</v>
      </c>
      <c r="J9" s="4">
        <v>45653</v>
      </c>
      <c r="K9" s="2" t="s">
        <v>33</v>
      </c>
      <c r="L9" s="2" t="str">
        <f t="shared" si="1"/>
        <v>Sang</v>
      </c>
      <c r="M9" s="2">
        <f t="shared" si="2"/>
        <v>8</v>
      </c>
    </row>
    <row r="10" spans="1:13" x14ac:dyDescent="0.25">
      <c r="A10" s="2" t="s">
        <v>433</v>
      </c>
      <c r="B10" s="2" t="s">
        <v>708</v>
      </c>
      <c r="C10" s="2" t="s">
        <v>713</v>
      </c>
      <c r="D10" s="2" t="s">
        <v>13</v>
      </c>
      <c r="E10" s="2" t="s">
        <v>34</v>
      </c>
      <c r="F10" s="2" t="s">
        <v>35</v>
      </c>
      <c r="G10" s="2">
        <v>1</v>
      </c>
      <c r="H10" s="2">
        <f>VALUE(
 IF(RIGHT(F10,1)="k",
    LEFT(F10,LEN(F10)-1)*1000,
    SUBSTITUTE(SUBSTITUTE(F10,"đ",""),".","")
 )
)</f>
        <v>35000</v>
      </c>
      <c r="I10" s="2">
        <f t="shared" si="0"/>
        <v>35000</v>
      </c>
      <c r="J10" s="4">
        <v>45634</v>
      </c>
      <c r="K10" s="2" t="s">
        <v>36</v>
      </c>
      <c r="L10" s="2" t="str">
        <f t="shared" si="1"/>
        <v>Chieu</v>
      </c>
      <c r="M10" s="2">
        <f t="shared" si="2"/>
        <v>14</v>
      </c>
    </row>
    <row r="11" spans="1:13" x14ac:dyDescent="0.25">
      <c r="A11" s="2" t="s">
        <v>434</v>
      </c>
      <c r="B11" s="2" t="s">
        <v>709</v>
      </c>
      <c r="C11" s="2" t="s">
        <v>716</v>
      </c>
      <c r="D11" s="2" t="s">
        <v>37</v>
      </c>
      <c r="E11" s="2" t="s">
        <v>29</v>
      </c>
      <c r="F11" s="2" t="s">
        <v>38</v>
      </c>
      <c r="G11" s="2">
        <v>2</v>
      </c>
      <c r="H11" s="2">
        <f>VALUE(
 IF(RIGHT(F11,1)="k",
    LEFT(F11,LEN(F11)-1)*1000,
    SUBSTITUTE(SUBSTITUTE(F11,"đ",""),".","")
 )
)</f>
        <v>39000</v>
      </c>
      <c r="I11" s="2">
        <f t="shared" si="0"/>
        <v>78000</v>
      </c>
      <c r="J11" s="4">
        <v>45303</v>
      </c>
      <c r="K11" s="2" t="s">
        <v>39</v>
      </c>
      <c r="L11" s="2" t="str">
        <f t="shared" si="1"/>
        <v>Toi</v>
      </c>
      <c r="M11" s="2">
        <f t="shared" si="2"/>
        <v>19</v>
      </c>
    </row>
    <row r="12" spans="1:13" x14ac:dyDescent="0.25">
      <c r="A12" s="2" t="s">
        <v>435</v>
      </c>
      <c r="B12" s="2" t="s">
        <v>705</v>
      </c>
      <c r="C12" s="2" t="s">
        <v>713</v>
      </c>
      <c r="D12" s="2" t="s">
        <v>13</v>
      </c>
      <c r="E12" s="2" t="s">
        <v>34</v>
      </c>
      <c r="F12" s="2" t="s">
        <v>40</v>
      </c>
      <c r="G12" s="2">
        <v>2</v>
      </c>
      <c r="H12" s="2">
        <f>VALUE(
 IF(RIGHT(F12,1)="k",
    LEFT(F12,LEN(F12)-1)*1000,
    SUBSTITUTE(SUBSTITUTE(F12,"đ",""),".","")
 )
)</f>
        <v>36000</v>
      </c>
      <c r="I12" s="2">
        <f t="shared" si="0"/>
        <v>72000</v>
      </c>
      <c r="J12" s="4">
        <v>45644</v>
      </c>
      <c r="K12" s="2" t="s">
        <v>41</v>
      </c>
      <c r="L12" s="2" t="str">
        <f t="shared" si="1"/>
        <v>Trua</v>
      </c>
      <c r="M12" s="2">
        <f t="shared" si="2"/>
        <v>11</v>
      </c>
    </row>
    <row r="13" spans="1:13" x14ac:dyDescent="0.25">
      <c r="A13" s="2" t="s">
        <v>436</v>
      </c>
      <c r="B13" s="2" t="s">
        <v>709</v>
      </c>
      <c r="C13" s="2" t="s">
        <v>717</v>
      </c>
      <c r="D13" s="2" t="s">
        <v>42</v>
      </c>
      <c r="E13" s="2" t="s">
        <v>14</v>
      </c>
      <c r="F13" s="2" t="s">
        <v>43</v>
      </c>
      <c r="G13" s="2">
        <v>1</v>
      </c>
      <c r="H13" s="2">
        <f>VALUE(
 IF(RIGHT(F13,1)="k",
    LEFT(F13,LEN(F13)-1)*1000,
    SUBSTITUTE(SUBSTITUTE(F13,"đ",""),".","")
 )
)</f>
        <v>50000</v>
      </c>
      <c r="I13" s="2">
        <f t="shared" si="0"/>
        <v>50000</v>
      </c>
      <c r="J13" s="4">
        <v>45654</v>
      </c>
      <c r="K13" s="2" t="s">
        <v>44</v>
      </c>
      <c r="L13" s="2" t="str">
        <f t="shared" si="1"/>
        <v>Chieu</v>
      </c>
      <c r="M13" s="2">
        <f t="shared" si="2"/>
        <v>14</v>
      </c>
    </row>
    <row r="14" spans="1:13" x14ac:dyDescent="0.25">
      <c r="A14" s="2" t="s">
        <v>437</v>
      </c>
      <c r="B14" s="2" t="s">
        <v>705</v>
      </c>
      <c r="C14" s="2" t="s">
        <v>718</v>
      </c>
      <c r="D14" s="2" t="s">
        <v>45</v>
      </c>
      <c r="E14" s="2" t="s">
        <v>29</v>
      </c>
      <c r="F14" s="2" t="s">
        <v>46</v>
      </c>
      <c r="G14" s="2">
        <v>3</v>
      </c>
      <c r="H14" s="2">
        <f>VALUE(
 IF(RIGHT(F14,1)="k",
    LEFT(F14,LEN(F14)-1)*1000,
    SUBSTITUTE(SUBSTITUTE(F14,"đ",""),".","")
 )
)</f>
        <v>28000</v>
      </c>
      <c r="I14" s="2">
        <f t="shared" si="0"/>
        <v>84000</v>
      </c>
      <c r="J14" s="4">
        <v>45641</v>
      </c>
      <c r="K14" s="2" t="s">
        <v>47</v>
      </c>
      <c r="L14" s="2" t="str">
        <f t="shared" si="1"/>
        <v>Sang</v>
      </c>
      <c r="M14" s="2">
        <f t="shared" si="2"/>
        <v>7</v>
      </c>
    </row>
    <row r="15" spans="1:13" x14ac:dyDescent="0.25">
      <c r="A15" s="2" t="s">
        <v>438</v>
      </c>
      <c r="B15" s="2" t="s">
        <v>706</v>
      </c>
      <c r="C15" s="2" t="s">
        <v>719</v>
      </c>
      <c r="D15" s="2" t="s">
        <v>28</v>
      </c>
      <c r="E15" s="2" t="s">
        <v>29</v>
      </c>
      <c r="F15" s="2" t="s">
        <v>48</v>
      </c>
      <c r="G15" s="2">
        <v>1</v>
      </c>
      <c r="H15" s="2">
        <f>VALUE(
 IF(RIGHT(F15,1)="k",
    LEFT(F15,LEN(F15)-1)*1000,
    SUBSTITUTE(SUBSTITUTE(F15,"đ",""),".","")
 )
)</f>
        <v>33000</v>
      </c>
      <c r="I15" s="2">
        <f t="shared" si="0"/>
        <v>33000</v>
      </c>
      <c r="J15" s="4">
        <v>45547</v>
      </c>
      <c r="K15" s="2" t="s">
        <v>49</v>
      </c>
      <c r="L15" s="2" t="str">
        <f t="shared" si="1"/>
        <v>Trua</v>
      </c>
      <c r="M15" s="2">
        <f t="shared" si="2"/>
        <v>13</v>
      </c>
    </row>
    <row r="16" spans="1:13" x14ac:dyDescent="0.25">
      <c r="A16" s="2" t="s">
        <v>439</v>
      </c>
      <c r="B16" s="2" t="s">
        <v>707</v>
      </c>
      <c r="C16" s="2" t="s">
        <v>720</v>
      </c>
      <c r="D16" s="2" t="s">
        <v>50</v>
      </c>
      <c r="E16" s="2" t="s">
        <v>22</v>
      </c>
      <c r="F16" s="2" t="s">
        <v>51</v>
      </c>
      <c r="G16" s="2">
        <v>1</v>
      </c>
      <c r="H16" s="2">
        <f>VALUE(
 IF(RIGHT(F16,1)="k",
    LEFT(F16,LEN(F16)-1)*1000,
    SUBSTITUTE(SUBSTITUTE(F16,"đ",""),".","")
 )
)</f>
        <v>43798</v>
      </c>
      <c r="I16" s="2">
        <f t="shared" si="0"/>
        <v>43798</v>
      </c>
      <c r="J16" s="4">
        <v>45632</v>
      </c>
      <c r="K16" s="2" t="s">
        <v>52</v>
      </c>
      <c r="L16" s="2" t="str">
        <f t="shared" si="1"/>
        <v>Chieu</v>
      </c>
      <c r="M16" s="2">
        <f t="shared" si="2"/>
        <v>15</v>
      </c>
    </row>
    <row r="17" spans="1:13" x14ac:dyDescent="0.25">
      <c r="A17" s="2" t="s">
        <v>440</v>
      </c>
      <c r="B17" s="2" t="s">
        <v>705</v>
      </c>
      <c r="C17" s="2" t="s">
        <v>721</v>
      </c>
      <c r="D17" s="2" t="s">
        <v>53</v>
      </c>
      <c r="E17" s="2" t="s">
        <v>10</v>
      </c>
      <c r="F17" s="2" t="s">
        <v>54</v>
      </c>
      <c r="G17" s="2">
        <v>2</v>
      </c>
      <c r="H17" s="2">
        <f>VALUE(
 IF(RIGHT(F17,1)="k",
    LEFT(F17,LEN(F17)-1)*1000,
    SUBSTITUTE(SUBSTITUTE(F17,"đ",""),".","")
 )
)</f>
        <v>44000</v>
      </c>
      <c r="I17" s="2">
        <f t="shared" si="0"/>
        <v>88000</v>
      </c>
      <c r="J17" s="4">
        <v>45639</v>
      </c>
      <c r="K17" s="2" t="s">
        <v>55</v>
      </c>
      <c r="L17" s="2" t="str">
        <f t="shared" si="1"/>
        <v>Sang</v>
      </c>
      <c r="M17" s="2">
        <f t="shared" si="2"/>
        <v>7</v>
      </c>
    </row>
    <row r="18" spans="1:13" x14ac:dyDescent="0.25">
      <c r="A18" s="2" t="s">
        <v>441</v>
      </c>
      <c r="B18" s="2" t="s">
        <v>708</v>
      </c>
      <c r="C18" s="2" t="s">
        <v>722</v>
      </c>
      <c r="D18" s="2" t="s">
        <v>56</v>
      </c>
      <c r="E18" s="2" t="s">
        <v>29</v>
      </c>
      <c r="F18" s="2" t="s">
        <v>48</v>
      </c>
      <c r="G18" s="2">
        <v>4</v>
      </c>
      <c r="H18" s="2">
        <f>VALUE(
 IF(RIGHT(F18,1)="k",
    LEFT(F18,LEN(F18)-1)*1000,
    SUBSTITUTE(SUBSTITUTE(F18,"đ",""),".","")
 )
)</f>
        <v>33000</v>
      </c>
      <c r="I18" s="2">
        <f t="shared" si="0"/>
        <v>132000</v>
      </c>
      <c r="J18" s="4">
        <v>45645</v>
      </c>
      <c r="K18" s="2" t="s">
        <v>57</v>
      </c>
      <c r="L18" s="2" t="str">
        <f t="shared" si="1"/>
        <v>Chieu</v>
      </c>
      <c r="M18" s="2">
        <f t="shared" si="2"/>
        <v>15</v>
      </c>
    </row>
    <row r="19" spans="1:13" x14ac:dyDescent="0.25">
      <c r="A19" s="2" t="s">
        <v>442</v>
      </c>
      <c r="B19" s="2" t="s">
        <v>706</v>
      </c>
      <c r="C19" s="2" t="s">
        <v>712</v>
      </c>
      <c r="D19" s="2" t="s">
        <v>58</v>
      </c>
      <c r="E19" s="2" t="s">
        <v>22</v>
      </c>
      <c r="F19" s="2" t="s">
        <v>59</v>
      </c>
      <c r="G19" s="2">
        <v>2</v>
      </c>
      <c r="H19" s="2">
        <f>VALUE(
 IF(RIGHT(F19,1)="k",
    LEFT(F19,LEN(F19)-1)*1000,
    SUBSTITUTE(SUBSTITUTE(F19,"đ",""),".","")
 )
)</f>
        <v>54000</v>
      </c>
      <c r="I19" s="2">
        <f t="shared" si="0"/>
        <v>108000</v>
      </c>
      <c r="J19" s="4">
        <v>45650</v>
      </c>
      <c r="K19" s="2" t="s">
        <v>60</v>
      </c>
      <c r="L19" s="2" t="str">
        <f t="shared" si="1"/>
        <v>Sang</v>
      </c>
      <c r="M19" s="2">
        <f t="shared" si="2"/>
        <v>8</v>
      </c>
    </row>
    <row r="20" spans="1:13" x14ac:dyDescent="0.25">
      <c r="A20" s="2" t="s">
        <v>443</v>
      </c>
      <c r="B20" s="2" t="s">
        <v>707</v>
      </c>
      <c r="C20" s="2" t="s">
        <v>721</v>
      </c>
      <c r="D20" s="2" t="s">
        <v>61</v>
      </c>
      <c r="E20" s="2" t="s">
        <v>10</v>
      </c>
      <c r="F20" s="2" t="s">
        <v>62</v>
      </c>
      <c r="G20" s="2">
        <v>1</v>
      </c>
      <c r="H20" s="2">
        <f>VALUE(
 IF(RIGHT(F20,1)="k",
    LEFT(F20,LEN(F20)-1)*1000,
    SUBSTITUTE(SUBSTITUTE(F20,"đ",""),".","")
 )
)</f>
        <v>50000</v>
      </c>
      <c r="I20" s="2">
        <f t="shared" si="0"/>
        <v>50000</v>
      </c>
      <c r="J20" s="4">
        <v>45647</v>
      </c>
      <c r="K20" s="2" t="s">
        <v>63</v>
      </c>
      <c r="L20" s="2" t="str">
        <f t="shared" si="1"/>
        <v>Trua</v>
      </c>
      <c r="M20" s="2">
        <f t="shared" si="2"/>
        <v>11</v>
      </c>
    </row>
    <row r="21" spans="1:13" ht="15.75" customHeight="1" x14ac:dyDescent="0.25">
      <c r="A21" s="2" t="s">
        <v>444</v>
      </c>
      <c r="B21" s="2" t="s">
        <v>707</v>
      </c>
      <c r="C21" s="2" t="s">
        <v>718</v>
      </c>
      <c r="D21" s="2" t="s">
        <v>64</v>
      </c>
      <c r="E21" s="2" t="s">
        <v>29</v>
      </c>
      <c r="F21" s="2" t="s">
        <v>65</v>
      </c>
      <c r="G21" s="2">
        <v>3</v>
      </c>
      <c r="H21" s="2">
        <f>VALUE(
 IF(RIGHT(F21,1)="k",
    LEFT(F21,LEN(F21)-1)*1000,
    SUBSTITUTE(SUBSTITUTE(F21,"đ",""),".","")
 )
)</f>
        <v>52000</v>
      </c>
      <c r="I21" s="2">
        <f t="shared" si="0"/>
        <v>156000</v>
      </c>
      <c r="J21" s="4">
        <v>45648</v>
      </c>
      <c r="K21" s="2" t="s">
        <v>66</v>
      </c>
      <c r="L21" s="2" t="str">
        <f t="shared" si="1"/>
        <v>Trua</v>
      </c>
      <c r="M21" s="2">
        <f t="shared" si="2"/>
        <v>13</v>
      </c>
    </row>
    <row r="22" spans="1:13" ht="15.75" customHeight="1" x14ac:dyDescent="0.25">
      <c r="A22" s="2" t="s">
        <v>444</v>
      </c>
      <c r="B22" s="2" t="s">
        <v>707</v>
      </c>
      <c r="C22" s="2" t="s">
        <v>718</v>
      </c>
      <c r="D22" s="2" t="s">
        <v>64</v>
      </c>
      <c r="E22" s="2" t="s">
        <v>29</v>
      </c>
      <c r="F22" s="2" t="s">
        <v>65</v>
      </c>
      <c r="G22" s="2">
        <v>3</v>
      </c>
      <c r="H22" s="2">
        <f>VALUE(
 IF(RIGHT(F22,1)="k",
    LEFT(F22,LEN(F22)-1)*1000,
    SUBSTITUTE(SUBSTITUTE(F22,"đ",""),".","")
 )
)</f>
        <v>52000</v>
      </c>
      <c r="I22" s="2">
        <f t="shared" si="0"/>
        <v>156000</v>
      </c>
      <c r="J22" s="4">
        <v>45648</v>
      </c>
      <c r="K22" s="2" t="s">
        <v>66</v>
      </c>
      <c r="L22" s="2" t="str">
        <f t="shared" si="1"/>
        <v>Trua</v>
      </c>
      <c r="M22" s="2">
        <f t="shared" si="2"/>
        <v>13</v>
      </c>
    </row>
    <row r="23" spans="1:13" ht="15.75" customHeight="1" x14ac:dyDescent="0.25">
      <c r="A23" s="2" t="s">
        <v>445</v>
      </c>
      <c r="B23" s="2" t="s">
        <v>705</v>
      </c>
      <c r="C23" s="2" t="s">
        <v>720</v>
      </c>
      <c r="D23" s="2" t="s">
        <v>6</v>
      </c>
      <c r="E23" s="2" t="s">
        <v>29</v>
      </c>
      <c r="F23" s="2" t="s">
        <v>67</v>
      </c>
      <c r="G23" s="2">
        <v>1</v>
      </c>
      <c r="H23" s="2">
        <f>VALUE(
 IF(RIGHT(F23,1)="k",
    LEFT(F23,LEN(F23)-1)*1000,
    SUBSTITUTE(SUBSTITUTE(F23,"đ",""),".","")
 )
)</f>
        <v>54000</v>
      </c>
      <c r="I23" s="2">
        <f t="shared" si="0"/>
        <v>54000</v>
      </c>
      <c r="J23" s="4">
        <v>45654</v>
      </c>
      <c r="K23" s="2" t="s">
        <v>68</v>
      </c>
      <c r="L23" s="2" t="str">
        <f t="shared" si="1"/>
        <v>Chieu</v>
      </c>
      <c r="M23" s="2">
        <f t="shared" si="2"/>
        <v>14</v>
      </c>
    </row>
    <row r="24" spans="1:13" ht="15.75" customHeight="1" x14ac:dyDescent="0.25">
      <c r="A24" s="2" t="s">
        <v>446</v>
      </c>
      <c r="B24" s="2" t="s">
        <v>709</v>
      </c>
      <c r="C24" s="2" t="s">
        <v>722</v>
      </c>
      <c r="D24" s="2" t="s">
        <v>69</v>
      </c>
      <c r="E24" s="2" t="s">
        <v>22</v>
      </c>
      <c r="F24" s="2" t="s">
        <v>38</v>
      </c>
      <c r="G24" s="2">
        <v>3</v>
      </c>
      <c r="H24" s="2">
        <f>VALUE(
 IF(RIGHT(F24,1)="k",
    LEFT(F24,LEN(F24)-1)*1000,
    SUBSTITUTE(SUBSTITUTE(F24,"đ",""),".","")
 )
)</f>
        <v>39000</v>
      </c>
      <c r="I24" s="2">
        <f t="shared" si="0"/>
        <v>117000</v>
      </c>
      <c r="J24" s="4">
        <v>45643</v>
      </c>
      <c r="K24" s="2" t="s">
        <v>70</v>
      </c>
      <c r="L24" s="2" t="str">
        <f t="shared" si="1"/>
        <v>Sang</v>
      </c>
      <c r="M24" s="2">
        <f t="shared" si="2"/>
        <v>9</v>
      </c>
    </row>
    <row r="25" spans="1:13" ht="15.75" customHeight="1" x14ac:dyDescent="0.25">
      <c r="A25" s="2" t="s">
        <v>447</v>
      </c>
      <c r="B25" s="2" t="s">
        <v>707</v>
      </c>
      <c r="C25" s="2" t="s">
        <v>718</v>
      </c>
      <c r="D25" s="2" t="s">
        <v>71</v>
      </c>
      <c r="E25" s="2" t="s">
        <v>14</v>
      </c>
      <c r="F25" s="2" t="s">
        <v>72</v>
      </c>
      <c r="G25" s="2">
        <v>1</v>
      </c>
      <c r="H25" s="2">
        <f>VALUE(
 IF(RIGHT(F25,1)="k",
    LEFT(F25,LEN(F25)-1)*1000,
    SUBSTITUTE(SUBSTITUTE(F25,"đ",""),".","")
 )
)</f>
        <v>41839</v>
      </c>
      <c r="I25" s="2">
        <f t="shared" si="0"/>
        <v>41839</v>
      </c>
      <c r="J25" s="4">
        <v>45642</v>
      </c>
      <c r="K25" s="2" t="s">
        <v>73</v>
      </c>
      <c r="L25" s="2" t="str">
        <f t="shared" si="1"/>
        <v>Sang</v>
      </c>
      <c r="M25" s="2">
        <f t="shared" si="2"/>
        <v>10</v>
      </c>
    </row>
    <row r="26" spans="1:13" ht="15.75" customHeight="1" x14ac:dyDescent="0.25">
      <c r="A26" s="2" t="s">
        <v>448</v>
      </c>
      <c r="B26" s="2" t="s">
        <v>706</v>
      </c>
      <c r="C26" s="2" t="s">
        <v>711</v>
      </c>
      <c r="D26" s="2" t="s">
        <v>37</v>
      </c>
      <c r="E26" s="2" t="s">
        <v>29</v>
      </c>
      <c r="F26" s="2" t="s">
        <v>74</v>
      </c>
      <c r="G26" s="2">
        <v>2</v>
      </c>
      <c r="H26" s="2">
        <f>VALUE(
 IF(RIGHT(F26,1)="k",
    LEFT(F26,LEN(F26)-1)*1000,
    SUBSTITUTE(SUBSTITUTE(F26,"đ",""),".","")
 )
)</f>
        <v>41810</v>
      </c>
      <c r="I26" s="2">
        <f t="shared" si="0"/>
        <v>83620</v>
      </c>
      <c r="J26" s="4">
        <v>45647</v>
      </c>
      <c r="K26" s="2" t="s">
        <v>75</v>
      </c>
      <c r="L26" s="2" t="str">
        <f t="shared" si="1"/>
        <v>Sang</v>
      </c>
      <c r="M26" s="2">
        <f t="shared" si="2"/>
        <v>10</v>
      </c>
    </row>
    <row r="27" spans="1:13" ht="15.75" customHeight="1" x14ac:dyDescent="0.25">
      <c r="A27" s="2" t="s">
        <v>449</v>
      </c>
      <c r="B27" s="2" t="s">
        <v>706</v>
      </c>
      <c r="C27" s="2" t="s">
        <v>720</v>
      </c>
      <c r="D27" s="2" t="s">
        <v>53</v>
      </c>
      <c r="E27" s="2" t="s">
        <v>76</v>
      </c>
      <c r="F27" s="2" t="s">
        <v>77</v>
      </c>
      <c r="G27" s="2">
        <v>1</v>
      </c>
      <c r="H27" s="2">
        <f>VALUE(
 IF(RIGHT(F27,1)="k",
    LEFT(F27,LEN(F27)-1)*1000,
    SUBSTITUTE(SUBSTITUTE(F27,"đ",""),".","")
 )
)</f>
        <v>44845</v>
      </c>
      <c r="I27" s="2">
        <f t="shared" si="0"/>
        <v>44845</v>
      </c>
      <c r="J27" s="4">
        <v>45641</v>
      </c>
      <c r="K27" s="2" t="s">
        <v>78</v>
      </c>
      <c r="L27" s="2" t="str">
        <f t="shared" si="1"/>
        <v>Sang</v>
      </c>
      <c r="M27" s="2">
        <f t="shared" si="2"/>
        <v>8</v>
      </c>
    </row>
    <row r="28" spans="1:13" ht="15.75" customHeight="1" x14ac:dyDescent="0.25">
      <c r="A28" s="2" t="s">
        <v>450</v>
      </c>
      <c r="B28" s="2" t="s">
        <v>709</v>
      </c>
      <c r="C28" s="2" t="s">
        <v>720</v>
      </c>
      <c r="D28" s="2" t="s">
        <v>79</v>
      </c>
      <c r="E28" s="2" t="s">
        <v>29</v>
      </c>
      <c r="F28" s="2" t="s">
        <v>80</v>
      </c>
      <c r="G28" s="2">
        <v>1</v>
      </c>
      <c r="H28" s="2">
        <f>VALUE(
 IF(RIGHT(F28,1)="k",
    LEFT(F28,LEN(F28)-1)*1000,
    SUBSTITUTE(SUBSTITUTE(F28,"đ",""),".","")
 )
)</f>
        <v>57000</v>
      </c>
      <c r="I28" s="2">
        <f t="shared" si="0"/>
        <v>57000</v>
      </c>
      <c r="J28" s="4">
        <v>45641</v>
      </c>
      <c r="K28" s="2" t="s">
        <v>81</v>
      </c>
      <c r="L28" s="2" t="str">
        <f t="shared" si="1"/>
        <v>Toi</v>
      </c>
      <c r="M28" s="2">
        <f t="shared" si="2"/>
        <v>19</v>
      </c>
    </row>
    <row r="29" spans="1:13" ht="15.75" customHeight="1" x14ac:dyDescent="0.25">
      <c r="A29" s="2" t="s">
        <v>451</v>
      </c>
      <c r="B29" s="2" t="s">
        <v>707</v>
      </c>
      <c r="C29" s="2" t="s">
        <v>715</v>
      </c>
      <c r="D29" s="2" t="s">
        <v>71</v>
      </c>
      <c r="E29" s="2" t="s">
        <v>14</v>
      </c>
      <c r="F29" s="2" t="s">
        <v>82</v>
      </c>
      <c r="G29" s="2">
        <v>1</v>
      </c>
      <c r="H29" s="2">
        <f>VALUE(
 IF(RIGHT(F29,1)="k",
    LEFT(F29,LEN(F29)-1)*1000,
    SUBSTITUTE(SUBSTITUTE(F29,"đ",""),".","")
 )
)</f>
        <v>41787</v>
      </c>
      <c r="I29" s="2">
        <f t="shared" si="0"/>
        <v>41787</v>
      </c>
      <c r="J29" s="4">
        <v>45654</v>
      </c>
      <c r="K29" s="2" t="s">
        <v>57</v>
      </c>
      <c r="L29" s="2" t="str">
        <f t="shared" si="1"/>
        <v>Chieu</v>
      </c>
      <c r="M29" s="2">
        <f t="shared" si="2"/>
        <v>15</v>
      </c>
    </row>
    <row r="30" spans="1:13" ht="15.75" customHeight="1" x14ac:dyDescent="0.25">
      <c r="A30" s="2" t="s">
        <v>452</v>
      </c>
      <c r="B30" s="2" t="s">
        <v>709</v>
      </c>
      <c r="C30" s="2" t="s">
        <v>716</v>
      </c>
      <c r="D30" s="2" t="s">
        <v>25</v>
      </c>
      <c r="E30" s="2" t="s">
        <v>18</v>
      </c>
      <c r="F30" s="2" t="s">
        <v>83</v>
      </c>
      <c r="G30" s="2">
        <v>1</v>
      </c>
      <c r="H30" s="2">
        <f>VALUE(
 IF(RIGHT(F30,1)="k",
    LEFT(F30,LEN(F30)-1)*1000,
    SUBSTITUTE(SUBSTITUTE(F30,"đ",""),".","")
 )
)</f>
        <v>41000</v>
      </c>
      <c r="I30" s="2">
        <f t="shared" si="0"/>
        <v>41000</v>
      </c>
      <c r="J30" s="4">
        <v>45644</v>
      </c>
      <c r="K30" s="2" t="s">
        <v>84</v>
      </c>
      <c r="L30" s="2" t="str">
        <f t="shared" si="1"/>
        <v>Trua</v>
      </c>
      <c r="M30" s="2">
        <f t="shared" si="2"/>
        <v>13</v>
      </c>
    </row>
    <row r="31" spans="1:13" ht="15.75" customHeight="1" x14ac:dyDescent="0.25">
      <c r="A31" s="2" t="s">
        <v>453</v>
      </c>
      <c r="B31" s="2" t="s">
        <v>706</v>
      </c>
      <c r="C31" s="2" t="s">
        <v>710</v>
      </c>
      <c r="D31" s="2" t="s">
        <v>45</v>
      </c>
      <c r="E31" s="2" t="s">
        <v>29</v>
      </c>
      <c r="F31" s="2" t="s">
        <v>85</v>
      </c>
      <c r="G31" s="2">
        <v>1</v>
      </c>
      <c r="H31" s="2">
        <f>VALUE(
 IF(RIGHT(F31,1)="k",
    LEFT(F31,LEN(F31)-1)*1000,
    SUBSTITUTE(SUBSTITUTE(F31,"đ",""),".","")
 )
)</f>
        <v>28000</v>
      </c>
      <c r="I31" s="2">
        <f t="shared" si="0"/>
        <v>28000</v>
      </c>
      <c r="J31" s="4">
        <v>45641</v>
      </c>
      <c r="K31" s="2" t="s">
        <v>86</v>
      </c>
      <c r="L31" s="2" t="str">
        <f t="shared" si="1"/>
        <v>Sang</v>
      </c>
      <c r="M31" s="2">
        <f t="shared" si="2"/>
        <v>10</v>
      </c>
    </row>
    <row r="32" spans="1:13" ht="15.75" customHeight="1" x14ac:dyDescent="0.25">
      <c r="A32" s="2" t="s">
        <v>454</v>
      </c>
      <c r="B32" s="2" t="s">
        <v>707</v>
      </c>
      <c r="C32" s="2" t="s">
        <v>723</v>
      </c>
      <c r="D32" s="2" t="s">
        <v>71</v>
      </c>
      <c r="E32" s="2" t="s">
        <v>87</v>
      </c>
      <c r="F32" s="2" t="s">
        <v>88</v>
      </c>
      <c r="G32" s="2">
        <v>4</v>
      </c>
      <c r="H32" s="2">
        <f>VALUE(
 IF(RIGHT(F32,1)="k",
    LEFT(F32,LEN(F32)-1)*1000,
    SUBSTITUTE(SUBSTITUTE(F32,"đ",""),".","")
 )
)</f>
        <v>40000</v>
      </c>
      <c r="I32" s="2">
        <f t="shared" si="0"/>
        <v>160000</v>
      </c>
      <c r="J32" s="4">
        <v>45637</v>
      </c>
      <c r="K32" s="2" t="s">
        <v>89</v>
      </c>
      <c r="L32" s="2" t="str">
        <f t="shared" si="1"/>
        <v>Trua</v>
      </c>
      <c r="M32" s="2">
        <f t="shared" si="2"/>
        <v>11</v>
      </c>
    </row>
    <row r="33" spans="1:13" ht="15.75" customHeight="1" x14ac:dyDescent="0.25">
      <c r="A33" s="2" t="s">
        <v>455</v>
      </c>
      <c r="B33" s="2" t="s">
        <v>709</v>
      </c>
      <c r="C33" s="2" t="s">
        <v>723</v>
      </c>
      <c r="D33" s="2" t="s">
        <v>64</v>
      </c>
      <c r="E33" s="2" t="s">
        <v>29</v>
      </c>
      <c r="F33" s="2" t="s">
        <v>90</v>
      </c>
      <c r="G33" s="2">
        <v>2</v>
      </c>
      <c r="H33" s="2">
        <f>VALUE(
 IF(RIGHT(F33,1)="k",
    LEFT(F33,LEN(F33)-1)*1000,
    SUBSTITUTE(SUBSTITUTE(F33,"đ",""),".","")
 )
)</f>
        <v>47000</v>
      </c>
      <c r="I33" s="2">
        <f t="shared" si="0"/>
        <v>94000</v>
      </c>
      <c r="J33" s="4">
        <v>45647</v>
      </c>
      <c r="K33" s="2" t="s">
        <v>91</v>
      </c>
      <c r="L33" s="2" t="str">
        <f t="shared" si="1"/>
        <v>Toi</v>
      </c>
      <c r="M33" s="2">
        <f t="shared" si="2"/>
        <v>17</v>
      </c>
    </row>
    <row r="34" spans="1:13" ht="15.75" customHeight="1" x14ac:dyDescent="0.25">
      <c r="A34" s="2" t="s">
        <v>456</v>
      </c>
      <c r="B34" s="2" t="s">
        <v>709</v>
      </c>
      <c r="C34" s="2" t="s">
        <v>720</v>
      </c>
      <c r="D34" s="2" t="s">
        <v>42</v>
      </c>
      <c r="E34" s="2" t="s">
        <v>34</v>
      </c>
      <c r="F34" s="2" t="s">
        <v>43</v>
      </c>
      <c r="G34" s="2">
        <v>1</v>
      </c>
      <c r="H34" s="2">
        <f>VALUE(
 IF(RIGHT(F34,1)="k",
    LEFT(F34,LEN(F34)-1)*1000,
    SUBSTITUTE(SUBSTITUTE(F34,"đ",""),".","")
 )
)</f>
        <v>50000</v>
      </c>
      <c r="I34" s="2">
        <f t="shared" si="0"/>
        <v>50000</v>
      </c>
      <c r="J34" s="4">
        <v>45632</v>
      </c>
      <c r="K34" s="2" t="s">
        <v>81</v>
      </c>
      <c r="L34" s="2" t="str">
        <f t="shared" si="1"/>
        <v>Toi</v>
      </c>
      <c r="M34" s="2">
        <f t="shared" si="2"/>
        <v>19</v>
      </c>
    </row>
    <row r="35" spans="1:13" ht="15.75" customHeight="1" x14ac:dyDescent="0.25">
      <c r="A35" s="2" t="s">
        <v>457</v>
      </c>
      <c r="B35" s="2" t="s">
        <v>707</v>
      </c>
      <c r="C35" s="2" t="s">
        <v>712</v>
      </c>
      <c r="D35" s="2" t="s">
        <v>42</v>
      </c>
      <c r="E35" s="2" t="s">
        <v>14</v>
      </c>
      <c r="F35" s="2" t="s">
        <v>65</v>
      </c>
      <c r="G35" s="2">
        <v>2</v>
      </c>
      <c r="H35" s="2">
        <f>VALUE(
 IF(RIGHT(F35,1)="k",
    LEFT(F35,LEN(F35)-1)*1000,
    SUBSTITUTE(SUBSTITUTE(F35,"đ",""),".","")
 )
)</f>
        <v>52000</v>
      </c>
      <c r="I35" s="2">
        <f t="shared" si="0"/>
        <v>104000</v>
      </c>
      <c r="J35" s="4">
        <v>45640</v>
      </c>
      <c r="K35" s="2" t="s">
        <v>92</v>
      </c>
      <c r="L35" s="2" t="str">
        <f t="shared" si="1"/>
        <v>Sang</v>
      </c>
      <c r="M35" s="2">
        <f t="shared" si="2"/>
        <v>7</v>
      </c>
    </row>
    <row r="36" spans="1:13" ht="15.75" customHeight="1" x14ac:dyDescent="0.25">
      <c r="A36" s="2" t="s">
        <v>458</v>
      </c>
      <c r="B36" s="2" t="s">
        <v>708</v>
      </c>
      <c r="C36" s="2" t="s">
        <v>717</v>
      </c>
      <c r="D36" s="2" t="s">
        <v>28</v>
      </c>
      <c r="E36" s="2" t="s">
        <v>29</v>
      </c>
      <c r="F36" s="2" t="s">
        <v>35</v>
      </c>
      <c r="G36" s="2">
        <v>2</v>
      </c>
      <c r="H36" s="2">
        <f>VALUE(
 IF(RIGHT(F36,1)="k",
    LEFT(F36,LEN(F36)-1)*1000,
    SUBSTITUTE(SUBSTITUTE(F36,"đ",""),".","")
 )
)</f>
        <v>35000</v>
      </c>
      <c r="I36" s="2">
        <f t="shared" si="0"/>
        <v>70000</v>
      </c>
      <c r="J36" s="4">
        <v>45630</v>
      </c>
      <c r="K36" s="2" t="s">
        <v>93</v>
      </c>
      <c r="L36" s="2" t="str">
        <f t="shared" si="1"/>
        <v>Toi</v>
      </c>
      <c r="M36" s="2">
        <f t="shared" si="2"/>
        <v>19</v>
      </c>
    </row>
    <row r="37" spans="1:13" ht="15.75" customHeight="1" x14ac:dyDescent="0.25">
      <c r="A37" s="2" t="s">
        <v>459</v>
      </c>
      <c r="B37" s="2" t="s">
        <v>706</v>
      </c>
      <c r="C37" s="2" t="s">
        <v>723</v>
      </c>
      <c r="D37" s="2" t="s">
        <v>37</v>
      </c>
      <c r="E37" s="2" t="s">
        <v>29</v>
      </c>
      <c r="F37" s="2" t="s">
        <v>94</v>
      </c>
      <c r="G37" s="2">
        <v>3</v>
      </c>
      <c r="H37" s="2">
        <f>VALUE(
 IF(RIGHT(F37,1)="k",
    LEFT(F37,LEN(F37)-1)*1000,
    SUBSTITUTE(SUBSTITUTE(F37,"đ",""),".","")
 )
)</f>
        <v>38000</v>
      </c>
      <c r="I37" s="2">
        <f t="shared" si="0"/>
        <v>114000</v>
      </c>
      <c r="J37" s="4">
        <v>45653</v>
      </c>
      <c r="K37" s="2" t="s">
        <v>95</v>
      </c>
      <c r="L37" s="2" t="str">
        <f t="shared" si="1"/>
        <v>Trua</v>
      </c>
      <c r="M37" s="2">
        <f t="shared" si="2"/>
        <v>12</v>
      </c>
    </row>
    <row r="38" spans="1:13" ht="15.75" customHeight="1" x14ac:dyDescent="0.25">
      <c r="A38" s="2" t="s">
        <v>460</v>
      </c>
      <c r="B38" s="2" t="s">
        <v>706</v>
      </c>
      <c r="C38" s="2" t="s">
        <v>724</v>
      </c>
      <c r="D38" s="2" t="s">
        <v>69</v>
      </c>
      <c r="E38" s="2" t="s">
        <v>22</v>
      </c>
      <c r="F38" s="2" t="s">
        <v>96</v>
      </c>
      <c r="G38" s="2">
        <v>1</v>
      </c>
      <c r="H38" s="2">
        <f>VALUE(
 IF(RIGHT(F38,1)="k",
    LEFT(F38,LEN(F38)-1)*1000,
    SUBSTITUTE(SUBSTITUTE(F38,"đ",""),".","")
 )
)</f>
        <v>39386</v>
      </c>
      <c r="I38" s="2">
        <f t="shared" si="0"/>
        <v>39386</v>
      </c>
      <c r="J38" s="4">
        <v>45363</v>
      </c>
      <c r="K38" s="2" t="s">
        <v>97</v>
      </c>
      <c r="L38" s="2" t="str">
        <f t="shared" si="1"/>
        <v>Chieu</v>
      </c>
      <c r="M38" s="2">
        <f t="shared" si="2"/>
        <v>14</v>
      </c>
    </row>
    <row r="39" spans="1:13" ht="15.75" customHeight="1" x14ac:dyDescent="0.25">
      <c r="A39" s="2" t="s">
        <v>461</v>
      </c>
      <c r="B39" s="2" t="s">
        <v>709</v>
      </c>
      <c r="C39" s="2" t="s">
        <v>718</v>
      </c>
      <c r="D39" s="2" t="s">
        <v>6</v>
      </c>
      <c r="E39" s="2" t="s">
        <v>29</v>
      </c>
      <c r="F39" s="2" t="s">
        <v>98</v>
      </c>
      <c r="G39" s="2">
        <v>1</v>
      </c>
      <c r="H39" s="2">
        <f>VALUE(
 IF(RIGHT(F39,1)="k",
    LEFT(F39,LEN(F39)-1)*1000,
    SUBSTITUTE(SUBSTITUTE(F39,"đ",""),".","")
 )
)</f>
        <v>52000</v>
      </c>
      <c r="I39" s="2">
        <f t="shared" si="0"/>
        <v>52000</v>
      </c>
      <c r="J39" s="4">
        <v>45637</v>
      </c>
      <c r="K39" s="2" t="s">
        <v>99</v>
      </c>
      <c r="L39" s="2" t="str">
        <f t="shared" si="1"/>
        <v>Sang</v>
      </c>
      <c r="M39" s="2">
        <f t="shared" si="2"/>
        <v>7</v>
      </c>
    </row>
    <row r="40" spans="1:13" ht="15.75" customHeight="1" x14ac:dyDescent="0.25">
      <c r="A40" s="2" t="s">
        <v>462</v>
      </c>
      <c r="B40" s="2" t="s">
        <v>708</v>
      </c>
      <c r="C40" s="2" t="s">
        <v>717</v>
      </c>
      <c r="D40" s="2" t="s">
        <v>56</v>
      </c>
      <c r="E40" s="2" t="s">
        <v>29</v>
      </c>
      <c r="F40" s="2" t="s">
        <v>100</v>
      </c>
      <c r="G40" s="2">
        <v>3</v>
      </c>
      <c r="H40" s="2">
        <f>VALUE(
 IF(RIGHT(F40,1)="k",
    LEFT(F40,LEN(F40)-1)*1000,
    SUBSTITUTE(SUBSTITUTE(F40,"đ",""),".","")
 )
)</f>
        <v>35000</v>
      </c>
      <c r="I40" s="2">
        <f t="shared" si="0"/>
        <v>105000</v>
      </c>
      <c r="J40" s="4">
        <v>45632</v>
      </c>
      <c r="K40" s="2" t="s">
        <v>101</v>
      </c>
      <c r="L40" s="2" t="str">
        <f t="shared" si="1"/>
        <v>Chieu</v>
      </c>
      <c r="M40" s="2">
        <f t="shared" si="2"/>
        <v>15</v>
      </c>
    </row>
    <row r="41" spans="1:13" ht="15.75" customHeight="1" x14ac:dyDescent="0.25">
      <c r="A41" s="2" t="s">
        <v>463</v>
      </c>
      <c r="B41" s="2" t="s">
        <v>708</v>
      </c>
      <c r="C41" s="2" t="s">
        <v>720</v>
      </c>
      <c r="D41" s="2" t="s">
        <v>45</v>
      </c>
      <c r="E41" s="2" t="s">
        <v>29</v>
      </c>
      <c r="F41" s="2" t="s">
        <v>102</v>
      </c>
      <c r="G41" s="2">
        <v>1</v>
      </c>
      <c r="H41" s="2">
        <f>VALUE(
 IF(RIGHT(F41,1)="k",
    LEFT(F41,LEN(F41)-1)*1000,
    SUBSTITUTE(SUBSTITUTE(F41,"đ",""),".","")
 )
)</f>
        <v>28000</v>
      </c>
      <c r="I41" s="2">
        <f t="shared" si="0"/>
        <v>28000</v>
      </c>
      <c r="J41" s="4">
        <v>45334</v>
      </c>
      <c r="K41" s="2" t="s">
        <v>103</v>
      </c>
      <c r="L41" s="2" t="str">
        <f t="shared" si="1"/>
        <v>Toi</v>
      </c>
      <c r="M41" s="2">
        <f t="shared" si="2"/>
        <v>17</v>
      </c>
    </row>
    <row r="42" spans="1:13" ht="15.75" customHeight="1" x14ac:dyDescent="0.25">
      <c r="A42" s="2" t="s">
        <v>464</v>
      </c>
      <c r="B42" s="2" t="s">
        <v>709</v>
      </c>
      <c r="C42" s="2" t="s">
        <v>721</v>
      </c>
      <c r="D42" s="2" t="s">
        <v>45</v>
      </c>
      <c r="E42" s="2" t="s">
        <v>29</v>
      </c>
      <c r="F42" s="2" t="s">
        <v>104</v>
      </c>
      <c r="G42" s="2">
        <v>1</v>
      </c>
      <c r="H42" s="2">
        <f>VALUE(
 IF(RIGHT(F42,1)="k",
    LEFT(F42,LEN(F42)-1)*1000,
    SUBSTITUTE(SUBSTITUTE(F42,"đ",""),".","")
 )
)</f>
        <v>29997</v>
      </c>
      <c r="I42" s="2">
        <f t="shared" si="0"/>
        <v>29997</v>
      </c>
      <c r="J42" s="4">
        <v>45639</v>
      </c>
      <c r="K42" s="2" t="s">
        <v>105</v>
      </c>
      <c r="L42" s="2" t="str">
        <f t="shared" si="1"/>
        <v>Trua</v>
      </c>
      <c r="M42" s="2">
        <f t="shared" si="2"/>
        <v>12</v>
      </c>
    </row>
    <row r="43" spans="1:13" ht="15.75" customHeight="1" x14ac:dyDescent="0.25">
      <c r="A43" s="2" t="s">
        <v>465</v>
      </c>
      <c r="B43" s="2" t="s">
        <v>706</v>
      </c>
      <c r="C43" s="2" t="s">
        <v>711</v>
      </c>
      <c r="D43" s="2" t="s">
        <v>53</v>
      </c>
      <c r="E43" s="2" t="s">
        <v>10</v>
      </c>
      <c r="F43" s="2" t="s">
        <v>106</v>
      </c>
      <c r="G43" s="2">
        <v>2</v>
      </c>
      <c r="H43" s="2">
        <f>VALUE(
 IF(RIGHT(F43,1)="k",
    LEFT(F43,LEN(F43)-1)*1000,
    SUBSTITUTE(SUBSTITUTE(F43,"đ",""),".","")
 )
)</f>
        <v>45000</v>
      </c>
      <c r="I43" s="2">
        <f t="shared" si="0"/>
        <v>90000</v>
      </c>
      <c r="J43" s="4">
        <v>45642</v>
      </c>
      <c r="K43" s="2" t="s">
        <v>107</v>
      </c>
      <c r="L43" s="2" t="str">
        <f t="shared" si="1"/>
        <v>Sang</v>
      </c>
      <c r="M43" s="2">
        <f t="shared" si="2"/>
        <v>9</v>
      </c>
    </row>
    <row r="44" spans="1:13" ht="15.75" customHeight="1" x14ac:dyDescent="0.25">
      <c r="A44" s="2" t="s">
        <v>466</v>
      </c>
      <c r="B44" s="2" t="s">
        <v>706</v>
      </c>
      <c r="C44" s="2" t="s">
        <v>724</v>
      </c>
      <c r="D44" s="2" t="s">
        <v>45</v>
      </c>
      <c r="E44" s="2" t="s">
        <v>29</v>
      </c>
      <c r="F44" s="2" t="s">
        <v>108</v>
      </c>
      <c r="G44" s="2">
        <v>1</v>
      </c>
      <c r="H44" s="2">
        <f>VALUE(
 IF(RIGHT(F44,1)="k",
    LEFT(F44,LEN(F44)-1)*1000,
    SUBSTITUTE(SUBSTITUTE(F44,"đ",""),".","")
 )
)</f>
        <v>30000</v>
      </c>
      <c r="I44" s="2">
        <f t="shared" si="0"/>
        <v>30000</v>
      </c>
      <c r="J44" s="4">
        <v>45641</v>
      </c>
      <c r="K44" s="2" t="s">
        <v>109</v>
      </c>
      <c r="L44" s="2" t="str">
        <f t="shared" si="1"/>
        <v>Trua</v>
      </c>
      <c r="M44" s="2">
        <f t="shared" si="2"/>
        <v>11</v>
      </c>
    </row>
    <row r="45" spans="1:13" ht="15.75" customHeight="1" x14ac:dyDescent="0.25">
      <c r="A45" s="2" t="s">
        <v>467</v>
      </c>
      <c r="B45" s="2" t="s">
        <v>708</v>
      </c>
      <c r="C45" s="2" t="s">
        <v>724</v>
      </c>
      <c r="D45" s="2" t="s">
        <v>58</v>
      </c>
      <c r="E45" s="2" t="s">
        <v>22</v>
      </c>
      <c r="F45" s="2" t="s">
        <v>110</v>
      </c>
      <c r="G45" s="2">
        <v>1</v>
      </c>
      <c r="H45" s="2">
        <f>VALUE(
 IF(RIGHT(F45,1)="k",
    LEFT(F45,LEN(F45)-1)*1000,
    SUBSTITUTE(SUBSTITUTE(F45,"đ",""),".","")
 )
)</f>
        <v>54000</v>
      </c>
      <c r="I45" s="2">
        <f t="shared" si="0"/>
        <v>54000</v>
      </c>
      <c r="J45" s="4">
        <v>45485</v>
      </c>
      <c r="K45" s="2" t="s">
        <v>111</v>
      </c>
      <c r="L45" s="2" t="str">
        <f t="shared" si="1"/>
        <v>Sang</v>
      </c>
      <c r="M45" s="2">
        <f t="shared" si="2"/>
        <v>9</v>
      </c>
    </row>
    <row r="46" spans="1:13" ht="15.75" customHeight="1" x14ac:dyDescent="0.25">
      <c r="A46" s="2" t="s">
        <v>468</v>
      </c>
      <c r="B46" s="2" t="s">
        <v>708</v>
      </c>
      <c r="C46" s="2" t="s">
        <v>717</v>
      </c>
      <c r="D46" s="2" t="s">
        <v>17</v>
      </c>
      <c r="E46" s="2" t="s">
        <v>112</v>
      </c>
      <c r="F46" s="2" t="s">
        <v>113</v>
      </c>
      <c r="G46" s="2">
        <v>2</v>
      </c>
      <c r="H46" s="2">
        <f>VALUE(
 IF(RIGHT(F46,1)="k",
    LEFT(F46,LEN(F46)-1)*1000,
    SUBSTITUTE(SUBSTITUTE(F46,"đ",""),".","")
 )
)</f>
        <v>39000</v>
      </c>
      <c r="I46" s="2">
        <f t="shared" si="0"/>
        <v>78000</v>
      </c>
      <c r="J46" s="4">
        <v>45632</v>
      </c>
      <c r="K46" s="2" t="s">
        <v>114</v>
      </c>
      <c r="L46" s="2" t="str">
        <f t="shared" si="1"/>
        <v>Sang</v>
      </c>
      <c r="M46" s="2">
        <f t="shared" si="2"/>
        <v>8</v>
      </c>
    </row>
    <row r="47" spans="1:13" ht="15.75" customHeight="1" x14ac:dyDescent="0.25">
      <c r="A47" s="2" t="s">
        <v>469</v>
      </c>
      <c r="B47" s="2" t="s">
        <v>707</v>
      </c>
      <c r="C47" s="2" t="s">
        <v>723</v>
      </c>
      <c r="D47" s="2" t="s">
        <v>115</v>
      </c>
      <c r="E47" s="2" t="s">
        <v>29</v>
      </c>
      <c r="F47" s="2" t="s">
        <v>90</v>
      </c>
      <c r="G47" s="2">
        <v>2</v>
      </c>
      <c r="H47" s="2">
        <f>VALUE(
 IF(RIGHT(F47,1)="k",
    LEFT(F47,LEN(F47)-1)*1000,
    SUBSTITUTE(SUBSTITUTE(F47,"đ",""),".","")
 )
)</f>
        <v>47000</v>
      </c>
      <c r="I47" s="2">
        <f t="shared" si="0"/>
        <v>94000</v>
      </c>
      <c r="J47" s="4">
        <v>45651</v>
      </c>
      <c r="K47" s="2" t="s">
        <v>116</v>
      </c>
      <c r="L47" s="2" t="str">
        <f t="shared" si="1"/>
        <v>Toi</v>
      </c>
      <c r="M47" s="2">
        <f t="shared" si="2"/>
        <v>19</v>
      </c>
    </row>
    <row r="48" spans="1:13" ht="15.75" customHeight="1" x14ac:dyDescent="0.25">
      <c r="A48" s="2" t="s">
        <v>470</v>
      </c>
      <c r="B48" s="2" t="s">
        <v>707</v>
      </c>
      <c r="C48" s="2" t="s">
        <v>721</v>
      </c>
      <c r="D48" s="2" t="s">
        <v>28</v>
      </c>
      <c r="E48" s="2" t="s">
        <v>29</v>
      </c>
      <c r="F48" s="2" t="s">
        <v>100</v>
      </c>
      <c r="G48" s="2">
        <v>3</v>
      </c>
      <c r="H48" s="2">
        <f>VALUE(
 IF(RIGHT(F48,1)="k",
    LEFT(F48,LEN(F48)-1)*1000,
    SUBSTITUTE(SUBSTITUTE(F48,"đ",""),".","")
 )
)</f>
        <v>35000</v>
      </c>
      <c r="I48" s="2">
        <f t="shared" si="0"/>
        <v>105000</v>
      </c>
      <c r="J48" s="4">
        <v>45639</v>
      </c>
      <c r="K48" s="2" t="s">
        <v>117</v>
      </c>
      <c r="L48" s="2" t="str">
        <f t="shared" si="1"/>
        <v>Sang</v>
      </c>
      <c r="M48" s="2">
        <f t="shared" si="2"/>
        <v>9</v>
      </c>
    </row>
    <row r="49" spans="1:13" ht="15.75" customHeight="1" x14ac:dyDescent="0.25">
      <c r="A49" s="2" t="s">
        <v>471</v>
      </c>
      <c r="B49" s="2" t="s">
        <v>708</v>
      </c>
      <c r="C49" s="2" t="s">
        <v>711</v>
      </c>
      <c r="D49" s="2" t="s">
        <v>69</v>
      </c>
      <c r="E49" s="2" t="s">
        <v>22</v>
      </c>
      <c r="F49" s="2" t="s">
        <v>118</v>
      </c>
      <c r="G49" s="2">
        <v>3</v>
      </c>
      <c r="H49" s="2">
        <f>VALUE(
 IF(RIGHT(F49,1)="k",
    LEFT(F49,LEN(F49)-1)*1000,
    SUBSTITUTE(SUBSTITUTE(F49,"đ",""),".","")
 )
)</f>
        <v>40000</v>
      </c>
      <c r="I49" s="2">
        <f t="shared" si="0"/>
        <v>120000</v>
      </c>
      <c r="J49" s="4">
        <v>45648</v>
      </c>
      <c r="K49" s="2" t="s">
        <v>119</v>
      </c>
      <c r="L49" s="2" t="str">
        <f t="shared" si="1"/>
        <v>Chieu</v>
      </c>
      <c r="M49" s="2">
        <f t="shared" si="2"/>
        <v>14</v>
      </c>
    </row>
    <row r="50" spans="1:13" ht="15.75" customHeight="1" x14ac:dyDescent="0.25">
      <c r="A50" s="2" t="s">
        <v>472</v>
      </c>
      <c r="B50" s="2" t="s">
        <v>708</v>
      </c>
      <c r="C50" s="2" t="s">
        <v>724</v>
      </c>
      <c r="D50" s="2" t="s">
        <v>6</v>
      </c>
      <c r="E50" s="2" t="s">
        <v>29</v>
      </c>
      <c r="F50" s="2" t="s">
        <v>120</v>
      </c>
      <c r="G50" s="2">
        <v>2</v>
      </c>
      <c r="H50" s="2">
        <f>VALUE(
 IF(RIGHT(F50,1)="k",
    LEFT(F50,LEN(F50)-1)*1000,
    SUBSTITUTE(SUBSTITUTE(F50,"đ",""),".","")
 )
)</f>
        <v>54349</v>
      </c>
      <c r="I50" s="2">
        <f t="shared" si="0"/>
        <v>108698</v>
      </c>
      <c r="J50" s="4">
        <v>45631</v>
      </c>
      <c r="K50" s="2" t="s">
        <v>121</v>
      </c>
      <c r="L50" s="2" t="str">
        <f t="shared" si="1"/>
        <v>Sang</v>
      </c>
      <c r="M50" s="2">
        <f t="shared" si="2"/>
        <v>9</v>
      </c>
    </row>
    <row r="51" spans="1:13" ht="15.75" customHeight="1" x14ac:dyDescent="0.25">
      <c r="A51" s="2" t="s">
        <v>473</v>
      </c>
      <c r="B51" s="2" t="s">
        <v>706</v>
      </c>
      <c r="C51" s="2" t="s">
        <v>711</v>
      </c>
      <c r="D51" s="2" t="s">
        <v>45</v>
      </c>
      <c r="E51" s="2" t="s">
        <v>29</v>
      </c>
      <c r="F51" s="2" t="s">
        <v>122</v>
      </c>
      <c r="G51" s="2">
        <v>1</v>
      </c>
      <c r="H51" s="2">
        <f>VALUE(
 IF(RIGHT(F51,1)="k",
    LEFT(F51,LEN(F51)-1)*1000,
    SUBSTITUTE(SUBSTITUTE(F51,"đ",""),".","")
 )
)</f>
        <v>30000</v>
      </c>
      <c r="I51" s="2">
        <f t="shared" si="0"/>
        <v>30000</v>
      </c>
      <c r="J51" s="4">
        <v>45638</v>
      </c>
      <c r="K51" s="2" t="s">
        <v>123</v>
      </c>
      <c r="L51" s="2" t="str">
        <f t="shared" si="1"/>
        <v>Sang</v>
      </c>
      <c r="M51" s="2">
        <f t="shared" si="2"/>
        <v>8</v>
      </c>
    </row>
    <row r="52" spans="1:13" ht="15.75" customHeight="1" x14ac:dyDescent="0.25">
      <c r="A52" s="2" t="s">
        <v>474</v>
      </c>
      <c r="B52" s="2" t="s">
        <v>708</v>
      </c>
      <c r="C52" s="2" t="s">
        <v>710</v>
      </c>
      <c r="D52" s="2" t="s">
        <v>124</v>
      </c>
      <c r="E52" s="2" t="s">
        <v>22</v>
      </c>
      <c r="F52" s="2" t="s">
        <v>100</v>
      </c>
      <c r="G52" s="2">
        <v>2</v>
      </c>
      <c r="H52" s="2">
        <f>VALUE(
 IF(RIGHT(F52,1)="k",
    LEFT(F52,LEN(F52)-1)*1000,
    SUBSTITUTE(SUBSTITUTE(F52,"đ",""),".","")
 )
)</f>
        <v>35000</v>
      </c>
      <c r="I52" s="2">
        <f t="shared" si="0"/>
        <v>70000</v>
      </c>
      <c r="J52" s="4">
        <v>45637</v>
      </c>
      <c r="K52" s="2" t="s">
        <v>125</v>
      </c>
      <c r="L52" s="2" t="str">
        <f t="shared" si="1"/>
        <v>Sang</v>
      </c>
      <c r="M52" s="2">
        <f t="shared" si="2"/>
        <v>10</v>
      </c>
    </row>
    <row r="53" spans="1:13" ht="15.75" customHeight="1" x14ac:dyDescent="0.25">
      <c r="A53" s="2" t="s">
        <v>475</v>
      </c>
      <c r="B53" s="2" t="s">
        <v>705</v>
      </c>
      <c r="C53" s="2" t="s">
        <v>713</v>
      </c>
      <c r="D53" s="2" t="s">
        <v>9</v>
      </c>
      <c r="E53" s="2" t="s">
        <v>76</v>
      </c>
      <c r="F53" s="2" t="s">
        <v>126</v>
      </c>
      <c r="G53" s="2">
        <v>1</v>
      </c>
      <c r="H53" s="2">
        <f>VALUE(
 IF(RIGHT(F53,1)="k",
    LEFT(F53,LEN(F53)-1)*1000,
    SUBSTITUTE(SUBSTITUTE(F53,"đ",""),".","")
 )
)</f>
        <v>50151</v>
      </c>
      <c r="I53" s="2">
        <f t="shared" si="0"/>
        <v>50151</v>
      </c>
      <c r="J53" s="4">
        <v>45637</v>
      </c>
      <c r="K53" s="2" t="s">
        <v>127</v>
      </c>
      <c r="L53" s="2" t="str">
        <f t="shared" si="1"/>
        <v>Toi</v>
      </c>
      <c r="M53" s="2">
        <f t="shared" si="2"/>
        <v>17</v>
      </c>
    </row>
    <row r="54" spans="1:13" ht="15.75" customHeight="1" x14ac:dyDescent="0.25">
      <c r="A54" s="2" t="s">
        <v>476</v>
      </c>
      <c r="B54" s="2" t="s">
        <v>705</v>
      </c>
      <c r="C54" s="2" t="s">
        <v>719</v>
      </c>
      <c r="D54" s="2" t="s">
        <v>69</v>
      </c>
      <c r="E54" s="2" t="s">
        <v>22</v>
      </c>
      <c r="F54" s="2" t="s">
        <v>128</v>
      </c>
      <c r="G54" s="2">
        <v>1</v>
      </c>
      <c r="H54" s="2">
        <f>VALUE(
 IF(RIGHT(F54,1)="k",
    LEFT(F54,LEN(F54)-1)*1000,
    SUBSTITUTE(SUBSTITUTE(F54,"đ",""),".","")
 )
)</f>
        <v>40000</v>
      </c>
      <c r="I54" s="2">
        <f t="shared" si="0"/>
        <v>40000</v>
      </c>
      <c r="J54" s="4">
        <v>45424</v>
      </c>
      <c r="K54" s="2" t="s">
        <v>129</v>
      </c>
      <c r="L54" s="2" t="str">
        <f t="shared" si="1"/>
        <v>Trua</v>
      </c>
      <c r="M54" s="2">
        <f t="shared" si="2"/>
        <v>13</v>
      </c>
    </row>
    <row r="55" spans="1:13" ht="15.75" customHeight="1" x14ac:dyDescent="0.25">
      <c r="A55" s="2" t="s">
        <v>477</v>
      </c>
      <c r="B55" s="2" t="s">
        <v>709</v>
      </c>
      <c r="C55" s="2" t="s">
        <v>718</v>
      </c>
      <c r="D55" s="2" t="s">
        <v>17</v>
      </c>
      <c r="E55" s="2" t="s">
        <v>112</v>
      </c>
      <c r="F55" s="2" t="s">
        <v>130</v>
      </c>
      <c r="G55" s="2">
        <v>1</v>
      </c>
      <c r="H55" s="2">
        <f>VALUE(
 IF(RIGHT(F55,1)="k",
    LEFT(F55,LEN(F55)-1)*1000,
    SUBSTITUTE(SUBSTITUTE(F55,"đ",""),".","")
 )
)</f>
        <v>38884</v>
      </c>
      <c r="I55" s="2">
        <f t="shared" si="0"/>
        <v>38884</v>
      </c>
      <c r="J55" s="4">
        <v>45547</v>
      </c>
      <c r="K55" s="2" t="s">
        <v>131</v>
      </c>
      <c r="L55" s="2" t="str">
        <f t="shared" si="1"/>
        <v>Trua</v>
      </c>
      <c r="M55" s="2">
        <f t="shared" si="2"/>
        <v>12</v>
      </c>
    </row>
    <row r="56" spans="1:13" ht="15.75" customHeight="1" x14ac:dyDescent="0.25">
      <c r="A56" s="2" t="s">
        <v>478</v>
      </c>
      <c r="B56" s="2" t="s">
        <v>708</v>
      </c>
      <c r="C56" s="2" t="s">
        <v>724</v>
      </c>
      <c r="D56" s="2" t="s">
        <v>50</v>
      </c>
      <c r="E56" s="2" t="s">
        <v>22</v>
      </c>
      <c r="F56" s="2" t="s">
        <v>132</v>
      </c>
      <c r="G56" s="2">
        <v>3</v>
      </c>
      <c r="H56" s="2">
        <f>VALUE(
 IF(RIGHT(F56,1)="k",
    LEFT(F56,LEN(F56)-1)*1000,
    SUBSTITUTE(SUBSTITUTE(F56,"đ",""),".","")
 )
)</f>
        <v>46000</v>
      </c>
      <c r="I56" s="2">
        <f t="shared" si="0"/>
        <v>138000</v>
      </c>
      <c r="J56" s="4">
        <v>45635</v>
      </c>
      <c r="K56" s="2" t="s">
        <v>133</v>
      </c>
      <c r="L56" s="2" t="str">
        <f t="shared" si="1"/>
        <v>Chieu</v>
      </c>
      <c r="M56" s="2">
        <f t="shared" si="2"/>
        <v>16</v>
      </c>
    </row>
    <row r="57" spans="1:13" ht="15.75" customHeight="1" x14ac:dyDescent="0.25">
      <c r="A57" s="2" t="s">
        <v>479</v>
      </c>
      <c r="B57" s="2" t="s">
        <v>705</v>
      </c>
      <c r="C57" s="2" t="s">
        <v>721</v>
      </c>
      <c r="D57" s="2" t="s">
        <v>45</v>
      </c>
      <c r="E57" s="2" t="s">
        <v>29</v>
      </c>
      <c r="F57" s="2" t="s">
        <v>134</v>
      </c>
      <c r="G57" s="2">
        <v>2</v>
      </c>
      <c r="H57" s="2">
        <f>VALUE(
 IF(RIGHT(F57,1)="k",
    LEFT(F57,LEN(F57)-1)*1000,
    SUBSTITUTE(SUBSTITUTE(F57,"đ",""),".","")
 )
)</f>
        <v>29459</v>
      </c>
      <c r="I57" s="2">
        <f t="shared" si="0"/>
        <v>58918</v>
      </c>
      <c r="J57" s="4">
        <v>45647</v>
      </c>
      <c r="K57" s="2" t="s">
        <v>135</v>
      </c>
      <c r="L57" s="2" t="str">
        <f t="shared" si="1"/>
        <v>Trua</v>
      </c>
      <c r="M57" s="2">
        <f t="shared" si="2"/>
        <v>12</v>
      </c>
    </row>
    <row r="58" spans="1:13" ht="15.75" customHeight="1" x14ac:dyDescent="0.25">
      <c r="A58" s="2" t="s">
        <v>480</v>
      </c>
      <c r="B58" s="2" t="s">
        <v>707</v>
      </c>
      <c r="C58" s="2" t="s">
        <v>723</v>
      </c>
      <c r="D58" s="2" t="s">
        <v>115</v>
      </c>
      <c r="E58" s="2" t="s">
        <v>29</v>
      </c>
      <c r="F58" s="2" t="s">
        <v>136</v>
      </c>
      <c r="G58" s="2">
        <v>1</v>
      </c>
      <c r="H58" s="2">
        <f>VALUE(
 IF(RIGHT(F58,1)="k",
    LEFT(F58,LEN(F58)-1)*1000,
    SUBSTITUTE(SUBSTITUTE(F58,"đ",""),".","")
 )
)</f>
        <v>48609</v>
      </c>
      <c r="I58" s="2">
        <f t="shared" si="0"/>
        <v>48609</v>
      </c>
      <c r="J58" s="4">
        <v>45631</v>
      </c>
      <c r="K58" s="2" t="s">
        <v>137</v>
      </c>
      <c r="L58" s="2" t="str">
        <f t="shared" si="1"/>
        <v>Sang</v>
      </c>
      <c r="M58" s="2">
        <f t="shared" si="2"/>
        <v>8</v>
      </c>
    </row>
    <row r="59" spans="1:13" ht="15.75" customHeight="1" x14ac:dyDescent="0.25">
      <c r="A59" s="2" t="s">
        <v>481</v>
      </c>
      <c r="B59" s="2" t="s">
        <v>709</v>
      </c>
      <c r="C59" s="2" t="s">
        <v>724</v>
      </c>
      <c r="D59" s="2" t="s">
        <v>69</v>
      </c>
      <c r="E59" s="2" t="s">
        <v>22</v>
      </c>
      <c r="F59" s="2" t="s">
        <v>138</v>
      </c>
      <c r="G59" s="2">
        <v>1</v>
      </c>
      <c r="H59" s="2">
        <f>VALUE(
 IF(RIGHT(F59,1)="k",
    LEFT(F59,LEN(F59)-1)*1000,
    SUBSTITUTE(SUBSTITUTE(F59,"đ",""),".","")
 )
)</f>
        <v>38000</v>
      </c>
      <c r="I59" s="2">
        <f t="shared" si="0"/>
        <v>38000</v>
      </c>
      <c r="J59" s="4">
        <v>45644</v>
      </c>
      <c r="K59" s="2" t="s">
        <v>139</v>
      </c>
      <c r="L59" s="2" t="str">
        <f t="shared" si="1"/>
        <v>Sang</v>
      </c>
      <c r="M59" s="2">
        <f t="shared" si="2"/>
        <v>8</v>
      </c>
    </row>
    <row r="60" spans="1:13" ht="15.75" customHeight="1" x14ac:dyDescent="0.25">
      <c r="A60" s="2" t="s">
        <v>464</v>
      </c>
      <c r="B60" s="2" t="s">
        <v>709</v>
      </c>
      <c r="C60" s="2" t="s">
        <v>721</v>
      </c>
      <c r="D60" s="2" t="s">
        <v>45</v>
      </c>
      <c r="E60" s="2" t="s">
        <v>29</v>
      </c>
      <c r="F60" s="2" t="s">
        <v>104</v>
      </c>
      <c r="G60" s="2">
        <v>1</v>
      </c>
      <c r="H60" s="2">
        <f>VALUE(
 IF(RIGHT(F60,1)="k",
    LEFT(F60,LEN(F60)-1)*1000,
    SUBSTITUTE(SUBSTITUTE(F60,"đ",""),".","")
 )
)</f>
        <v>29997</v>
      </c>
      <c r="I60" s="2">
        <f t="shared" si="0"/>
        <v>29997</v>
      </c>
      <c r="J60" s="4">
        <v>45639</v>
      </c>
      <c r="K60" s="2" t="s">
        <v>105</v>
      </c>
      <c r="L60" s="2" t="str">
        <f t="shared" si="1"/>
        <v>Trua</v>
      </c>
      <c r="M60" s="2">
        <f t="shared" si="2"/>
        <v>12</v>
      </c>
    </row>
    <row r="61" spans="1:13" ht="15.75" customHeight="1" x14ac:dyDescent="0.25">
      <c r="A61" s="2" t="s">
        <v>482</v>
      </c>
      <c r="B61" s="2" t="s">
        <v>706</v>
      </c>
      <c r="C61" s="2" t="s">
        <v>717</v>
      </c>
      <c r="D61" s="2" t="s">
        <v>69</v>
      </c>
      <c r="E61" s="2" t="s">
        <v>22</v>
      </c>
      <c r="F61" s="2" t="s">
        <v>140</v>
      </c>
      <c r="G61" s="2">
        <v>1</v>
      </c>
      <c r="H61" s="2">
        <f>VALUE(
 IF(RIGHT(F61,1)="k",
    LEFT(F61,LEN(F61)-1)*1000,
    SUBSTITUTE(SUBSTITUTE(F61,"đ",""),".","")
 )
)</f>
        <v>41000</v>
      </c>
      <c r="I61" s="2">
        <f t="shared" si="0"/>
        <v>41000</v>
      </c>
      <c r="J61" s="4">
        <v>45628</v>
      </c>
      <c r="K61" s="2" t="s">
        <v>141</v>
      </c>
      <c r="L61" s="2" t="str">
        <f t="shared" si="1"/>
        <v>Trua</v>
      </c>
      <c r="M61" s="2">
        <f t="shared" si="2"/>
        <v>12</v>
      </c>
    </row>
    <row r="62" spans="1:13" ht="15.75" customHeight="1" x14ac:dyDescent="0.25">
      <c r="A62" s="2" t="s">
        <v>483</v>
      </c>
      <c r="B62" s="2" t="s">
        <v>705</v>
      </c>
      <c r="C62" s="2" t="s">
        <v>722</v>
      </c>
      <c r="D62" s="2" t="s">
        <v>21</v>
      </c>
      <c r="E62" s="2" t="s">
        <v>22</v>
      </c>
      <c r="F62" s="2" t="s">
        <v>142</v>
      </c>
      <c r="G62" s="2">
        <v>2</v>
      </c>
      <c r="H62" s="2">
        <f>VALUE(
 IF(RIGHT(F62,1)="k",
    LEFT(F62,LEN(F62)-1)*1000,
    SUBSTITUTE(SUBSTITUTE(F62,"đ",""),".","")
 )
)</f>
        <v>38617</v>
      </c>
      <c r="I62" s="2">
        <f t="shared" si="0"/>
        <v>77234</v>
      </c>
      <c r="J62" s="4">
        <v>45547</v>
      </c>
      <c r="K62" s="2" t="s">
        <v>143</v>
      </c>
      <c r="L62" s="2" t="str">
        <f t="shared" si="1"/>
        <v>Chieu</v>
      </c>
      <c r="M62" s="2">
        <f t="shared" si="2"/>
        <v>16</v>
      </c>
    </row>
    <row r="63" spans="1:13" ht="15.75" customHeight="1" x14ac:dyDescent="0.25">
      <c r="A63" s="2" t="s">
        <v>484</v>
      </c>
      <c r="B63" s="2" t="s">
        <v>709</v>
      </c>
      <c r="C63" s="2" t="s">
        <v>710</v>
      </c>
      <c r="D63" s="2" t="s">
        <v>13</v>
      </c>
      <c r="E63" s="2" t="s">
        <v>34</v>
      </c>
      <c r="F63" s="2" t="s">
        <v>144</v>
      </c>
      <c r="G63" s="2">
        <v>1</v>
      </c>
      <c r="H63" s="2">
        <f>VALUE(
 IF(RIGHT(F63,1)="k",
    LEFT(F63,LEN(F63)-1)*1000,
    SUBSTITUTE(SUBSTITUTE(F63,"đ",""),".","")
 )
)</f>
        <v>33000</v>
      </c>
      <c r="I63" s="2">
        <f t="shared" si="0"/>
        <v>33000</v>
      </c>
      <c r="J63" s="4">
        <v>45644</v>
      </c>
      <c r="K63" s="2" t="s">
        <v>145</v>
      </c>
      <c r="L63" s="2" t="str">
        <f t="shared" si="1"/>
        <v>Chieu</v>
      </c>
      <c r="M63" s="2">
        <f t="shared" si="2"/>
        <v>15</v>
      </c>
    </row>
    <row r="64" spans="1:13" ht="15.75" customHeight="1" x14ac:dyDescent="0.25">
      <c r="A64" s="2" t="s">
        <v>485</v>
      </c>
      <c r="B64" s="2" t="s">
        <v>709</v>
      </c>
      <c r="C64" s="2" t="s">
        <v>718</v>
      </c>
      <c r="D64" s="2" t="s">
        <v>69</v>
      </c>
      <c r="E64" s="2" t="s">
        <v>22</v>
      </c>
      <c r="F64" s="2" t="s">
        <v>140</v>
      </c>
      <c r="G64" s="2">
        <v>1</v>
      </c>
      <c r="H64" s="2">
        <f>VALUE(
 IF(RIGHT(F64,1)="k",
    LEFT(F64,LEN(F64)-1)*1000,
    SUBSTITUTE(SUBSTITUTE(F64,"đ",""),".","")
 )
)</f>
        <v>41000</v>
      </c>
      <c r="I64" s="2">
        <f t="shared" si="0"/>
        <v>41000</v>
      </c>
      <c r="J64" s="4">
        <v>45636</v>
      </c>
      <c r="K64" s="2" t="s">
        <v>146</v>
      </c>
      <c r="L64" s="2" t="str">
        <f t="shared" si="1"/>
        <v>Chieu</v>
      </c>
      <c r="M64" s="2">
        <f t="shared" si="2"/>
        <v>16</v>
      </c>
    </row>
    <row r="65" spans="1:13" ht="15.75" customHeight="1" x14ac:dyDescent="0.25">
      <c r="A65" s="2" t="s">
        <v>486</v>
      </c>
      <c r="B65" s="2" t="s">
        <v>708</v>
      </c>
      <c r="C65" s="2" t="s">
        <v>722</v>
      </c>
      <c r="D65" s="2" t="s">
        <v>17</v>
      </c>
      <c r="E65" s="2" t="s">
        <v>18</v>
      </c>
      <c r="F65" s="2" t="s">
        <v>140</v>
      </c>
      <c r="G65" s="2">
        <v>1</v>
      </c>
      <c r="H65" s="2">
        <f>VALUE(
 IF(RIGHT(F65,1)="k",
    LEFT(F65,LEN(F65)-1)*1000,
    SUBSTITUTE(SUBSTITUTE(F65,"đ",""),".","")
 )
)</f>
        <v>41000</v>
      </c>
      <c r="I65" s="2">
        <f t="shared" si="0"/>
        <v>41000</v>
      </c>
      <c r="J65" s="4">
        <v>45633</v>
      </c>
      <c r="K65" s="2" t="s">
        <v>133</v>
      </c>
      <c r="L65" s="2" t="str">
        <f t="shared" si="1"/>
        <v>Chieu</v>
      </c>
      <c r="M65" s="2">
        <f t="shared" si="2"/>
        <v>16</v>
      </c>
    </row>
    <row r="66" spans="1:13" ht="15.75" customHeight="1" x14ac:dyDescent="0.25">
      <c r="A66" s="2" t="s">
        <v>487</v>
      </c>
      <c r="B66" s="2" t="s">
        <v>706</v>
      </c>
      <c r="C66" s="2" t="s">
        <v>710</v>
      </c>
      <c r="D66" s="2" t="s">
        <v>115</v>
      </c>
      <c r="E66" s="2" t="s">
        <v>29</v>
      </c>
      <c r="F66" s="2" t="s">
        <v>147</v>
      </c>
      <c r="G66" s="2">
        <v>1</v>
      </c>
      <c r="H66" s="2">
        <f>VALUE(
 IF(RIGHT(F66,1)="k",
    LEFT(F66,LEN(F66)-1)*1000,
    SUBSTITUTE(SUBSTITUTE(F66,"đ",""),".","")
 )
)</f>
        <v>49000</v>
      </c>
      <c r="I66" s="2">
        <f t="shared" ref="I66:I129" si="3">(G66)*(H66)</f>
        <v>49000</v>
      </c>
      <c r="J66" s="4">
        <v>45631</v>
      </c>
      <c r="K66" s="2" t="s">
        <v>148</v>
      </c>
      <c r="L66" s="2" t="str">
        <f t="shared" ref="L66:L129" si="4">IF(M66&lt;11,"Sang",
 IF(M66&lt;14,"Trua",
 IF(M66&lt;17,"Chieu","Toi")))</f>
        <v>Sang</v>
      </c>
      <c r="M66" s="2">
        <f t="shared" ref="M66:M129" si="5">HOUR(K66)</f>
        <v>10</v>
      </c>
    </row>
    <row r="67" spans="1:13" ht="15.75" customHeight="1" x14ac:dyDescent="0.25">
      <c r="A67" s="2" t="s">
        <v>488</v>
      </c>
      <c r="B67" s="2" t="s">
        <v>708</v>
      </c>
      <c r="C67" s="2" t="s">
        <v>713</v>
      </c>
      <c r="D67" s="2" t="s">
        <v>9</v>
      </c>
      <c r="E67" s="2" t="s">
        <v>76</v>
      </c>
      <c r="F67" s="2" t="s">
        <v>149</v>
      </c>
      <c r="G67" s="2">
        <v>2</v>
      </c>
      <c r="H67" s="2">
        <f>VALUE(
 IF(RIGHT(F67,1)="k",
    LEFT(F67,LEN(F67)-1)*1000,
    SUBSTITUTE(SUBSTITUTE(F67,"đ",""),".","")
 )
)</f>
        <v>48000</v>
      </c>
      <c r="I67" s="2">
        <f t="shared" si="3"/>
        <v>96000</v>
      </c>
      <c r="J67" s="4">
        <v>45641</v>
      </c>
      <c r="K67" s="2" t="s">
        <v>150</v>
      </c>
      <c r="L67" s="2" t="str">
        <f t="shared" si="4"/>
        <v>Toi</v>
      </c>
      <c r="M67" s="2">
        <f t="shared" si="5"/>
        <v>18</v>
      </c>
    </row>
    <row r="68" spans="1:13" ht="15.75" customHeight="1" x14ac:dyDescent="0.25">
      <c r="A68" s="2" t="s">
        <v>489</v>
      </c>
      <c r="B68" s="2" t="s">
        <v>705</v>
      </c>
      <c r="C68" s="2" t="s">
        <v>722</v>
      </c>
      <c r="D68" s="2" t="s">
        <v>69</v>
      </c>
      <c r="E68" s="2" t="s">
        <v>22</v>
      </c>
      <c r="F68" s="2" t="s">
        <v>151</v>
      </c>
      <c r="G68" s="2">
        <v>1</v>
      </c>
      <c r="H68" s="2">
        <f>VALUE(
 IF(RIGHT(F68,1)="k",
    LEFT(F68,LEN(F68)-1)*1000,
    SUBSTITUTE(SUBSTITUTE(F68,"đ",""),".","")
 )
)</f>
        <v>39962</v>
      </c>
      <c r="I68" s="2">
        <f t="shared" si="3"/>
        <v>39962</v>
      </c>
      <c r="J68" s="4">
        <v>45334</v>
      </c>
      <c r="K68" s="2" t="s">
        <v>152</v>
      </c>
      <c r="L68" s="2" t="str">
        <f t="shared" si="4"/>
        <v>Sang</v>
      </c>
      <c r="M68" s="2">
        <f t="shared" si="5"/>
        <v>10</v>
      </c>
    </row>
    <row r="69" spans="1:13" ht="15.75" customHeight="1" x14ac:dyDescent="0.25">
      <c r="A69" s="2" t="s">
        <v>490</v>
      </c>
      <c r="B69" s="2" t="s">
        <v>707</v>
      </c>
      <c r="C69" s="2" t="s">
        <v>713</v>
      </c>
      <c r="D69" s="2" t="s">
        <v>45</v>
      </c>
      <c r="E69" s="2" t="s">
        <v>29</v>
      </c>
      <c r="F69" s="2" t="s">
        <v>153</v>
      </c>
      <c r="G69" s="2">
        <v>1</v>
      </c>
      <c r="H69" s="2">
        <f>VALUE(
 IF(RIGHT(F69,1)="k",
    LEFT(F69,LEN(F69)-1)*1000,
    SUBSTITUTE(SUBSTITUTE(F69,"đ",""),".","")
 )
)</f>
        <v>29000</v>
      </c>
      <c r="I69" s="2">
        <f t="shared" si="3"/>
        <v>29000</v>
      </c>
      <c r="J69" s="4">
        <v>45629</v>
      </c>
      <c r="K69" s="2" t="s">
        <v>154</v>
      </c>
      <c r="L69" s="2" t="str">
        <f t="shared" si="4"/>
        <v>Sang</v>
      </c>
      <c r="M69" s="2">
        <f t="shared" si="5"/>
        <v>10</v>
      </c>
    </row>
    <row r="70" spans="1:13" ht="15.75" customHeight="1" x14ac:dyDescent="0.25">
      <c r="A70" s="2" t="s">
        <v>491</v>
      </c>
      <c r="B70" s="2" t="s">
        <v>707</v>
      </c>
      <c r="C70" s="2" t="s">
        <v>723</v>
      </c>
      <c r="D70" s="2" t="s">
        <v>61</v>
      </c>
      <c r="E70" s="2" t="s">
        <v>10</v>
      </c>
      <c r="F70" s="2" t="s">
        <v>149</v>
      </c>
      <c r="G70" s="2">
        <v>1</v>
      </c>
      <c r="H70" s="2">
        <f>VALUE(
 IF(RIGHT(F70,1)="k",
    LEFT(F70,LEN(F70)-1)*1000,
    SUBSTITUTE(SUBSTITUTE(F70,"đ",""),".","")
 )
)</f>
        <v>48000</v>
      </c>
      <c r="I70" s="2">
        <f t="shared" si="3"/>
        <v>48000</v>
      </c>
      <c r="J70" s="4">
        <v>45652</v>
      </c>
      <c r="K70" s="2" t="s">
        <v>155</v>
      </c>
      <c r="L70" s="2" t="str">
        <f t="shared" si="4"/>
        <v>Sang</v>
      </c>
      <c r="M70" s="2">
        <f t="shared" si="5"/>
        <v>8</v>
      </c>
    </row>
    <row r="71" spans="1:13" ht="15.75" customHeight="1" x14ac:dyDescent="0.25">
      <c r="A71" s="2" t="s">
        <v>492</v>
      </c>
      <c r="B71" s="2" t="s">
        <v>708</v>
      </c>
      <c r="C71" s="2" t="s">
        <v>716</v>
      </c>
      <c r="D71" s="2" t="s">
        <v>45</v>
      </c>
      <c r="E71" s="2" t="s">
        <v>29</v>
      </c>
      <c r="F71" s="2" t="s">
        <v>156</v>
      </c>
      <c r="G71" s="2">
        <v>1</v>
      </c>
      <c r="H71" s="2">
        <f>VALUE(
 IF(RIGHT(F71,1)="k",
    LEFT(F71,LEN(F71)-1)*1000,
    SUBSTITUTE(SUBSTITUTE(F71,"đ",""),".","")
 )
)</f>
        <v>31469</v>
      </c>
      <c r="I71" s="2">
        <f t="shared" si="3"/>
        <v>31469</v>
      </c>
      <c r="J71" s="4">
        <v>45638</v>
      </c>
      <c r="K71" s="2" t="s">
        <v>157</v>
      </c>
      <c r="L71" s="2" t="str">
        <f t="shared" si="4"/>
        <v>Chieu</v>
      </c>
      <c r="M71" s="2">
        <f t="shared" si="5"/>
        <v>14</v>
      </c>
    </row>
    <row r="72" spans="1:13" ht="15.75" customHeight="1" x14ac:dyDescent="0.25">
      <c r="A72" s="2" t="s">
        <v>493</v>
      </c>
      <c r="B72" s="2" t="s">
        <v>707</v>
      </c>
      <c r="C72" s="2" t="s">
        <v>721</v>
      </c>
      <c r="D72" s="2" t="s">
        <v>61</v>
      </c>
      <c r="E72" s="2" t="s">
        <v>76</v>
      </c>
      <c r="F72" s="2" t="s">
        <v>147</v>
      </c>
      <c r="G72" s="2">
        <v>1</v>
      </c>
      <c r="H72" s="2">
        <f>VALUE(
 IF(RIGHT(F72,1)="k",
    LEFT(F72,LEN(F72)-1)*1000,
    SUBSTITUTE(SUBSTITUTE(F72,"đ",""),".","")
 )
)</f>
        <v>49000</v>
      </c>
      <c r="I72" s="2">
        <f t="shared" si="3"/>
        <v>49000</v>
      </c>
      <c r="J72" s="4">
        <v>45629</v>
      </c>
      <c r="K72" s="2" t="s">
        <v>158</v>
      </c>
      <c r="L72" s="2" t="str">
        <f t="shared" si="4"/>
        <v>Trua</v>
      </c>
      <c r="M72" s="2">
        <f t="shared" si="5"/>
        <v>13</v>
      </c>
    </row>
    <row r="73" spans="1:13" ht="15.75" customHeight="1" x14ac:dyDescent="0.25">
      <c r="A73" s="2" t="s">
        <v>494</v>
      </c>
      <c r="B73" s="2" t="s">
        <v>705</v>
      </c>
      <c r="C73" s="2" t="s">
        <v>720</v>
      </c>
      <c r="D73" s="2" t="s">
        <v>28</v>
      </c>
      <c r="E73" s="2" t="s">
        <v>29</v>
      </c>
      <c r="F73" s="2" t="s">
        <v>159</v>
      </c>
      <c r="G73" s="2">
        <v>1</v>
      </c>
      <c r="H73" s="2">
        <f>VALUE(
 IF(RIGHT(F73,1)="k",
    LEFT(F73,LEN(F73)-1)*1000,
    SUBSTITUTE(SUBSTITUTE(F73,"đ",""),".","")
 )
)</f>
        <v>34218</v>
      </c>
      <c r="I73" s="2">
        <f t="shared" si="3"/>
        <v>34218</v>
      </c>
      <c r="J73" s="4">
        <v>45630</v>
      </c>
      <c r="K73" s="2" t="s">
        <v>160</v>
      </c>
      <c r="L73" s="2" t="str">
        <f t="shared" si="4"/>
        <v>Trua</v>
      </c>
      <c r="M73" s="2">
        <f t="shared" si="5"/>
        <v>13</v>
      </c>
    </row>
    <row r="74" spans="1:13" ht="15.75" customHeight="1" x14ac:dyDescent="0.25">
      <c r="A74" s="2" t="s">
        <v>495</v>
      </c>
      <c r="B74" s="2" t="s">
        <v>707</v>
      </c>
      <c r="C74" s="2" t="s">
        <v>724</v>
      </c>
      <c r="D74" s="2" t="s">
        <v>50</v>
      </c>
      <c r="E74" s="2" t="s">
        <v>22</v>
      </c>
      <c r="F74" s="2" t="s">
        <v>161</v>
      </c>
      <c r="G74" s="2">
        <v>1</v>
      </c>
      <c r="H74" s="2">
        <f>VALUE(
 IF(RIGHT(F74,1)="k",
    LEFT(F74,LEN(F74)-1)*1000,
    SUBSTITUTE(SUBSTITUTE(F74,"đ",""),".","")
 )
)</f>
        <v>44000</v>
      </c>
      <c r="I74" s="2">
        <f t="shared" si="3"/>
        <v>44000</v>
      </c>
      <c r="J74" s="4">
        <v>45631</v>
      </c>
      <c r="K74" s="2" t="s">
        <v>162</v>
      </c>
      <c r="L74" s="2" t="str">
        <f t="shared" si="4"/>
        <v>Toi</v>
      </c>
      <c r="M74" s="2">
        <f t="shared" si="5"/>
        <v>19</v>
      </c>
    </row>
    <row r="75" spans="1:13" ht="15.75" customHeight="1" x14ac:dyDescent="0.25">
      <c r="A75" s="2" t="s">
        <v>496</v>
      </c>
      <c r="B75" s="2" t="s">
        <v>705</v>
      </c>
      <c r="C75" s="2" t="s">
        <v>722</v>
      </c>
      <c r="D75" s="2" t="s">
        <v>17</v>
      </c>
      <c r="E75" s="2" t="s">
        <v>18</v>
      </c>
      <c r="F75" s="2" t="s">
        <v>163</v>
      </c>
      <c r="G75" s="2">
        <v>3</v>
      </c>
      <c r="H75" s="2">
        <f>VALUE(
 IF(RIGHT(F75,1)="k",
    LEFT(F75,LEN(F75)-1)*1000,
    SUBSTITUTE(SUBSTITUTE(F75,"đ",""),".","")
 )
)</f>
        <v>39715</v>
      </c>
      <c r="I75" s="2">
        <f t="shared" si="3"/>
        <v>119145</v>
      </c>
      <c r="J75" s="4">
        <v>45632</v>
      </c>
      <c r="K75" s="2" t="s">
        <v>125</v>
      </c>
      <c r="L75" s="2" t="str">
        <f t="shared" si="4"/>
        <v>Sang</v>
      </c>
      <c r="M75" s="2">
        <f t="shared" si="5"/>
        <v>10</v>
      </c>
    </row>
    <row r="76" spans="1:13" ht="15.75" customHeight="1" x14ac:dyDescent="0.25">
      <c r="A76" s="2" t="s">
        <v>497</v>
      </c>
      <c r="B76" s="2" t="s">
        <v>708</v>
      </c>
      <c r="C76" s="2" t="s">
        <v>712</v>
      </c>
      <c r="D76" s="2" t="s">
        <v>25</v>
      </c>
      <c r="E76" s="2" t="s">
        <v>112</v>
      </c>
      <c r="F76" s="2" t="s">
        <v>118</v>
      </c>
      <c r="G76" s="2">
        <v>1</v>
      </c>
      <c r="H76" s="2">
        <f>VALUE(
 IF(RIGHT(F76,1)="k",
    LEFT(F76,LEN(F76)-1)*1000,
    SUBSTITUTE(SUBSTITUTE(F76,"đ",""),".","")
 )
)</f>
        <v>40000</v>
      </c>
      <c r="I76" s="2">
        <f t="shared" si="3"/>
        <v>40000</v>
      </c>
      <c r="J76" s="4">
        <v>45647</v>
      </c>
      <c r="K76" s="2" t="s">
        <v>164</v>
      </c>
      <c r="L76" s="2" t="str">
        <f t="shared" si="4"/>
        <v>Sang</v>
      </c>
      <c r="M76" s="2">
        <f t="shared" si="5"/>
        <v>8</v>
      </c>
    </row>
    <row r="77" spans="1:13" ht="15.75" customHeight="1" x14ac:dyDescent="0.25">
      <c r="A77" s="2" t="s">
        <v>498</v>
      </c>
      <c r="B77" s="2" t="s">
        <v>707</v>
      </c>
      <c r="C77" s="2" t="s">
        <v>713</v>
      </c>
      <c r="D77" s="2" t="s">
        <v>6</v>
      </c>
      <c r="E77" s="2" t="s">
        <v>29</v>
      </c>
      <c r="F77" s="2" t="s">
        <v>65</v>
      </c>
      <c r="G77" s="2">
        <v>1</v>
      </c>
      <c r="H77" s="2">
        <f>VALUE(
 IF(RIGHT(F77,1)="k",
    LEFT(F77,LEN(F77)-1)*1000,
    SUBSTITUTE(SUBSTITUTE(F77,"đ",""),".","")
 )
)</f>
        <v>52000</v>
      </c>
      <c r="I77" s="2">
        <f t="shared" si="3"/>
        <v>52000</v>
      </c>
      <c r="J77" s="4">
        <v>45639</v>
      </c>
      <c r="K77" s="2" t="s">
        <v>119</v>
      </c>
      <c r="L77" s="2" t="str">
        <f t="shared" si="4"/>
        <v>Chieu</v>
      </c>
      <c r="M77" s="2">
        <f t="shared" si="5"/>
        <v>14</v>
      </c>
    </row>
    <row r="78" spans="1:13" ht="15.75" customHeight="1" x14ac:dyDescent="0.25">
      <c r="A78" s="2" t="s">
        <v>499</v>
      </c>
      <c r="B78" s="2" t="s">
        <v>708</v>
      </c>
      <c r="C78" s="2" t="s">
        <v>712</v>
      </c>
      <c r="D78" s="2" t="s">
        <v>71</v>
      </c>
      <c r="E78" s="2" t="s">
        <v>87</v>
      </c>
      <c r="F78" s="2" t="s">
        <v>138</v>
      </c>
      <c r="G78" s="2">
        <v>2</v>
      </c>
      <c r="H78" s="2">
        <f>VALUE(
 IF(RIGHT(F78,1)="k",
    LEFT(F78,LEN(F78)-1)*1000,
    SUBSTITUTE(SUBSTITUTE(F78,"đ",""),".","")
 )
)</f>
        <v>38000</v>
      </c>
      <c r="I78" s="2">
        <f t="shared" si="3"/>
        <v>76000</v>
      </c>
      <c r="J78" s="4">
        <v>45653</v>
      </c>
      <c r="K78" s="2" t="s">
        <v>165</v>
      </c>
      <c r="L78" s="2" t="str">
        <f t="shared" si="4"/>
        <v>Chieu</v>
      </c>
      <c r="M78" s="2">
        <f t="shared" si="5"/>
        <v>16</v>
      </c>
    </row>
    <row r="79" spans="1:13" ht="15.75" customHeight="1" x14ac:dyDescent="0.25">
      <c r="A79" s="2" t="s">
        <v>500</v>
      </c>
      <c r="B79" s="2" t="s">
        <v>705</v>
      </c>
      <c r="C79" s="2" t="s">
        <v>716</v>
      </c>
      <c r="D79" s="2" t="s">
        <v>56</v>
      </c>
      <c r="E79" s="2" t="s">
        <v>29</v>
      </c>
      <c r="F79" s="2" t="s">
        <v>40</v>
      </c>
      <c r="G79" s="2">
        <v>3</v>
      </c>
      <c r="H79" s="2">
        <f>VALUE(
 IF(RIGHT(F79,1)="k",
    LEFT(F79,LEN(F79)-1)*1000,
    SUBSTITUTE(SUBSTITUTE(F79,"đ",""),".","")
 )
)</f>
        <v>36000</v>
      </c>
      <c r="I79" s="2">
        <f t="shared" si="3"/>
        <v>108000</v>
      </c>
      <c r="J79" s="4">
        <v>45638</v>
      </c>
      <c r="K79" s="2" t="s">
        <v>166</v>
      </c>
      <c r="L79" s="2" t="str">
        <f t="shared" si="4"/>
        <v>Sang</v>
      </c>
      <c r="M79" s="2">
        <f t="shared" si="5"/>
        <v>10</v>
      </c>
    </row>
    <row r="80" spans="1:13" ht="15.75" customHeight="1" x14ac:dyDescent="0.25">
      <c r="A80" s="2" t="s">
        <v>501</v>
      </c>
      <c r="B80" s="2" t="s">
        <v>707</v>
      </c>
      <c r="C80" s="2" t="s">
        <v>721</v>
      </c>
      <c r="D80" s="2" t="s">
        <v>6</v>
      </c>
      <c r="E80" s="2" t="s">
        <v>29</v>
      </c>
      <c r="F80" s="2" t="s">
        <v>167</v>
      </c>
      <c r="G80" s="2">
        <v>1</v>
      </c>
      <c r="H80" s="2">
        <f>VALUE(
 IF(RIGHT(F80,1)="k",
    LEFT(F80,LEN(F80)-1)*1000,
    SUBSTITUTE(SUBSTITUTE(F80,"đ",""),".","")
 )
)</f>
        <v>56000</v>
      </c>
      <c r="I80" s="2">
        <f t="shared" si="3"/>
        <v>56000</v>
      </c>
      <c r="J80" s="4">
        <v>45646</v>
      </c>
      <c r="K80" s="2" t="s">
        <v>168</v>
      </c>
      <c r="L80" s="2" t="str">
        <f t="shared" si="4"/>
        <v>Trua</v>
      </c>
      <c r="M80" s="2">
        <f t="shared" si="5"/>
        <v>13</v>
      </c>
    </row>
    <row r="81" spans="1:13" ht="15.75" customHeight="1" x14ac:dyDescent="0.25">
      <c r="A81" s="2" t="s">
        <v>502</v>
      </c>
      <c r="B81" s="2" t="s">
        <v>708</v>
      </c>
      <c r="C81" s="2" t="s">
        <v>713</v>
      </c>
      <c r="D81" s="2" t="s">
        <v>56</v>
      </c>
      <c r="E81" s="2" t="s">
        <v>29</v>
      </c>
      <c r="F81" s="2" t="s">
        <v>169</v>
      </c>
      <c r="G81" s="2">
        <v>1</v>
      </c>
      <c r="H81" s="2">
        <f>VALUE(
 IF(RIGHT(F81,1)="k",
    LEFT(F81,LEN(F81)-1)*1000,
    SUBSTITUTE(SUBSTITUTE(F81,"đ",""),".","")
 )
)</f>
        <v>33321</v>
      </c>
      <c r="I81" s="2">
        <f t="shared" si="3"/>
        <v>33321</v>
      </c>
      <c r="J81" s="4">
        <v>45485</v>
      </c>
      <c r="K81" s="2" t="s">
        <v>170</v>
      </c>
      <c r="L81" s="2" t="str">
        <f t="shared" si="4"/>
        <v>Chieu</v>
      </c>
      <c r="M81" s="2">
        <f t="shared" si="5"/>
        <v>15</v>
      </c>
    </row>
    <row r="82" spans="1:13" ht="15.75" customHeight="1" x14ac:dyDescent="0.25">
      <c r="A82" s="2" t="s">
        <v>503</v>
      </c>
      <c r="B82" s="2" t="s">
        <v>706</v>
      </c>
      <c r="C82" s="2" t="s">
        <v>711</v>
      </c>
      <c r="D82" s="2" t="s">
        <v>64</v>
      </c>
      <c r="E82" s="2" t="s">
        <v>29</v>
      </c>
      <c r="F82" s="2" t="s">
        <v>171</v>
      </c>
      <c r="G82" s="2">
        <v>1</v>
      </c>
      <c r="H82" s="2">
        <f>VALUE(
 IF(RIGHT(F82,1)="k",
    LEFT(F82,LEN(F82)-1)*1000,
    SUBSTITUTE(SUBSTITUTE(F82,"đ",""),".","")
 )
)</f>
        <v>49000</v>
      </c>
      <c r="I82" s="2">
        <f t="shared" si="3"/>
        <v>49000</v>
      </c>
      <c r="J82" s="4">
        <v>45646</v>
      </c>
      <c r="K82" s="2" t="s">
        <v>172</v>
      </c>
      <c r="L82" s="2" t="str">
        <f t="shared" si="4"/>
        <v>Toi</v>
      </c>
      <c r="M82" s="2">
        <f t="shared" si="5"/>
        <v>19</v>
      </c>
    </row>
    <row r="83" spans="1:13" ht="15.75" customHeight="1" x14ac:dyDescent="0.25">
      <c r="A83" s="2" t="s">
        <v>504</v>
      </c>
      <c r="B83" s="2" t="s">
        <v>707</v>
      </c>
      <c r="C83" s="2" t="s">
        <v>712</v>
      </c>
      <c r="D83" s="2" t="s">
        <v>37</v>
      </c>
      <c r="E83" s="2" t="s">
        <v>29</v>
      </c>
      <c r="F83" s="2" t="s">
        <v>173</v>
      </c>
      <c r="G83" s="2">
        <v>1</v>
      </c>
      <c r="H83" s="2">
        <f>VALUE(
 IF(RIGHT(F83,1)="k",
    LEFT(F83,LEN(F83)-1)*1000,
    SUBSTITUTE(SUBSTITUTE(F83,"đ",""),".","")
 )
)</f>
        <v>40433</v>
      </c>
      <c r="I83" s="2">
        <f t="shared" si="3"/>
        <v>40433</v>
      </c>
      <c r="J83" s="4">
        <v>45644</v>
      </c>
      <c r="K83" s="2" t="s">
        <v>174</v>
      </c>
      <c r="L83" s="2" t="str">
        <f t="shared" si="4"/>
        <v>Chieu</v>
      </c>
      <c r="M83" s="2">
        <f t="shared" si="5"/>
        <v>16</v>
      </c>
    </row>
    <row r="84" spans="1:13" ht="15.75" customHeight="1" x14ac:dyDescent="0.25">
      <c r="A84" s="2" t="s">
        <v>505</v>
      </c>
      <c r="B84" s="2" t="s">
        <v>708</v>
      </c>
      <c r="C84" s="2" t="s">
        <v>719</v>
      </c>
      <c r="D84" s="2" t="s">
        <v>115</v>
      </c>
      <c r="E84" s="2" t="s">
        <v>29</v>
      </c>
      <c r="F84" s="2" t="s">
        <v>90</v>
      </c>
      <c r="G84" s="2">
        <v>2</v>
      </c>
      <c r="H84" s="2">
        <f>VALUE(
 IF(RIGHT(F84,1)="k",
    LEFT(F84,LEN(F84)-1)*1000,
    SUBSTITUTE(SUBSTITUTE(F84,"đ",""),".","")
 )
)</f>
        <v>47000</v>
      </c>
      <c r="I84" s="2">
        <f t="shared" si="3"/>
        <v>94000</v>
      </c>
      <c r="J84" s="4">
        <v>45632</v>
      </c>
      <c r="K84" s="2" t="s">
        <v>175</v>
      </c>
      <c r="L84" s="2" t="str">
        <f t="shared" si="4"/>
        <v>Toi</v>
      </c>
      <c r="M84" s="2">
        <f t="shared" si="5"/>
        <v>19</v>
      </c>
    </row>
    <row r="85" spans="1:13" ht="15.75" customHeight="1" x14ac:dyDescent="0.25">
      <c r="A85" s="2" t="s">
        <v>506</v>
      </c>
      <c r="B85" s="2" t="s">
        <v>706</v>
      </c>
      <c r="C85" s="2" t="s">
        <v>712</v>
      </c>
      <c r="D85" s="2" t="s">
        <v>56</v>
      </c>
      <c r="E85" s="2" t="s">
        <v>29</v>
      </c>
      <c r="F85" s="2" t="s">
        <v>176</v>
      </c>
      <c r="G85" s="2">
        <v>1</v>
      </c>
      <c r="H85" s="2">
        <f>VALUE(
 IF(RIGHT(F85,1)="k",
    LEFT(F85,LEN(F85)-1)*1000,
    SUBSTITUTE(SUBSTITUTE(F85,"đ",""),".","")
 )
)</f>
        <v>34000</v>
      </c>
      <c r="I85" s="2">
        <f t="shared" si="3"/>
        <v>34000</v>
      </c>
      <c r="J85" s="4">
        <v>45638</v>
      </c>
      <c r="K85" s="2" t="s">
        <v>177</v>
      </c>
      <c r="L85" s="2" t="str">
        <f t="shared" si="4"/>
        <v>Trua</v>
      </c>
      <c r="M85" s="2">
        <f t="shared" si="5"/>
        <v>12</v>
      </c>
    </row>
    <row r="86" spans="1:13" ht="15.75" customHeight="1" x14ac:dyDescent="0.25">
      <c r="A86" s="2" t="s">
        <v>507</v>
      </c>
      <c r="B86" s="2" t="s">
        <v>707</v>
      </c>
      <c r="C86" s="2" t="s">
        <v>719</v>
      </c>
      <c r="D86" s="2" t="s">
        <v>69</v>
      </c>
      <c r="E86" s="2" t="s">
        <v>22</v>
      </c>
      <c r="F86" s="2" t="s">
        <v>94</v>
      </c>
      <c r="G86" s="2">
        <v>1</v>
      </c>
      <c r="H86" s="2">
        <f>VALUE(
 IF(RIGHT(F86,1)="k",
    LEFT(F86,LEN(F86)-1)*1000,
    SUBSTITUTE(SUBSTITUTE(F86,"đ",""),".","")
 )
)</f>
        <v>38000</v>
      </c>
      <c r="I86" s="2">
        <f t="shared" si="3"/>
        <v>38000</v>
      </c>
      <c r="J86" s="4">
        <v>45647</v>
      </c>
      <c r="K86" s="2" t="s">
        <v>178</v>
      </c>
      <c r="L86" s="2" t="str">
        <f t="shared" si="4"/>
        <v>Toi</v>
      </c>
      <c r="M86" s="2">
        <f t="shared" si="5"/>
        <v>19</v>
      </c>
    </row>
    <row r="87" spans="1:13" ht="15.75" customHeight="1" x14ac:dyDescent="0.25">
      <c r="A87" s="2" t="s">
        <v>508</v>
      </c>
      <c r="B87" s="2" t="s">
        <v>707</v>
      </c>
      <c r="C87" s="2" t="s">
        <v>717</v>
      </c>
      <c r="D87" s="2" t="s">
        <v>115</v>
      </c>
      <c r="E87" s="2" t="s">
        <v>29</v>
      </c>
      <c r="F87" s="2" t="s">
        <v>62</v>
      </c>
      <c r="G87" s="2">
        <v>3</v>
      </c>
      <c r="H87" s="2">
        <f>VALUE(
 IF(RIGHT(F87,1)="k",
    LEFT(F87,LEN(F87)-1)*1000,
    SUBSTITUTE(SUBSTITUTE(F87,"đ",""),".","")
 )
)</f>
        <v>50000</v>
      </c>
      <c r="I87" s="2">
        <f t="shared" si="3"/>
        <v>150000</v>
      </c>
      <c r="J87" s="4">
        <v>45629</v>
      </c>
      <c r="K87" s="2" t="s">
        <v>179</v>
      </c>
      <c r="L87" s="2" t="str">
        <f t="shared" si="4"/>
        <v>Trua</v>
      </c>
      <c r="M87" s="2">
        <f t="shared" si="5"/>
        <v>12</v>
      </c>
    </row>
    <row r="88" spans="1:13" ht="15.75" customHeight="1" x14ac:dyDescent="0.25">
      <c r="A88" s="2" t="s">
        <v>509</v>
      </c>
      <c r="B88" s="2" t="s">
        <v>706</v>
      </c>
      <c r="C88" s="2" t="s">
        <v>724</v>
      </c>
      <c r="D88" s="2" t="s">
        <v>79</v>
      </c>
      <c r="E88" s="2" t="s">
        <v>29</v>
      </c>
      <c r="F88" s="2" t="s">
        <v>180</v>
      </c>
      <c r="G88" s="2">
        <v>1</v>
      </c>
      <c r="H88" s="2">
        <f>VALUE(
 IF(RIGHT(F88,1)="k",
    LEFT(F88,LEN(F88)-1)*1000,
    SUBSTITUTE(SUBSTITUTE(F88,"đ",""),".","")
 )
)</f>
        <v>57000</v>
      </c>
      <c r="I88" s="2">
        <f t="shared" si="3"/>
        <v>57000</v>
      </c>
      <c r="J88" s="4">
        <v>45639</v>
      </c>
      <c r="K88" s="2" t="s">
        <v>166</v>
      </c>
      <c r="L88" s="2" t="str">
        <f t="shared" si="4"/>
        <v>Sang</v>
      </c>
      <c r="M88" s="2">
        <f t="shared" si="5"/>
        <v>10</v>
      </c>
    </row>
    <row r="89" spans="1:13" ht="15.75" customHeight="1" x14ac:dyDescent="0.25">
      <c r="A89" s="2" t="s">
        <v>510</v>
      </c>
      <c r="B89" s="2" t="s">
        <v>706</v>
      </c>
      <c r="C89" s="2" t="s">
        <v>713</v>
      </c>
      <c r="D89" s="2" t="s">
        <v>42</v>
      </c>
      <c r="E89" s="2" t="s">
        <v>14</v>
      </c>
      <c r="F89" s="2" t="s">
        <v>181</v>
      </c>
      <c r="G89" s="2">
        <v>1</v>
      </c>
      <c r="H89" s="2">
        <f>VALUE(
 IF(RIGHT(F89,1)="k",
    LEFT(F89,LEN(F89)-1)*1000,
    SUBSTITUTE(SUBSTITUTE(F89,"đ",""),".","")
 )
)</f>
        <v>51000</v>
      </c>
      <c r="I89" s="2">
        <f t="shared" si="3"/>
        <v>51000</v>
      </c>
      <c r="J89" s="4">
        <v>45642</v>
      </c>
      <c r="K89" s="2" t="s">
        <v>182</v>
      </c>
      <c r="L89" s="2" t="str">
        <f t="shared" si="4"/>
        <v>Trua</v>
      </c>
      <c r="M89" s="2">
        <f t="shared" si="5"/>
        <v>11</v>
      </c>
    </row>
    <row r="90" spans="1:13" ht="15.75" customHeight="1" x14ac:dyDescent="0.25">
      <c r="A90" s="2" t="s">
        <v>511</v>
      </c>
      <c r="B90" s="2" t="s">
        <v>706</v>
      </c>
      <c r="C90" s="2" t="s">
        <v>721</v>
      </c>
      <c r="D90" s="2" t="s">
        <v>53</v>
      </c>
      <c r="E90" s="2" t="s">
        <v>10</v>
      </c>
      <c r="F90" s="2" t="s">
        <v>183</v>
      </c>
      <c r="G90" s="2">
        <v>1</v>
      </c>
      <c r="H90" s="2">
        <f>VALUE(
 IF(RIGHT(F90,1)="k",
    LEFT(F90,LEN(F90)-1)*1000,
    SUBSTITUTE(SUBSTITUTE(F90,"đ",""),".","")
 )
)</f>
        <v>44836</v>
      </c>
      <c r="I90" s="2">
        <f t="shared" si="3"/>
        <v>44836</v>
      </c>
      <c r="J90" s="4">
        <v>45641</v>
      </c>
      <c r="K90" s="2" t="s">
        <v>184</v>
      </c>
      <c r="L90" s="2" t="str">
        <f t="shared" si="4"/>
        <v>Chieu</v>
      </c>
      <c r="M90" s="2">
        <f t="shared" si="5"/>
        <v>14</v>
      </c>
    </row>
    <row r="91" spans="1:13" ht="15.75" customHeight="1" x14ac:dyDescent="0.25">
      <c r="A91" s="2" t="s">
        <v>512</v>
      </c>
      <c r="B91" s="2" t="s">
        <v>705</v>
      </c>
      <c r="C91" s="2" t="s">
        <v>711</v>
      </c>
      <c r="D91" s="2" t="s">
        <v>64</v>
      </c>
      <c r="E91" s="2" t="s">
        <v>29</v>
      </c>
      <c r="F91" s="2" t="s">
        <v>147</v>
      </c>
      <c r="G91" s="2">
        <v>2</v>
      </c>
      <c r="H91" s="2">
        <f>VALUE(
 IF(RIGHT(F91,1)="k",
    LEFT(F91,LEN(F91)-1)*1000,
    SUBSTITUTE(SUBSTITUTE(F91,"đ",""),".","")
 )
)</f>
        <v>49000</v>
      </c>
      <c r="I91" s="2">
        <f t="shared" si="3"/>
        <v>98000</v>
      </c>
      <c r="J91" s="4">
        <v>45363</v>
      </c>
      <c r="K91" s="2" t="s">
        <v>185</v>
      </c>
      <c r="L91" s="2" t="str">
        <f t="shared" si="4"/>
        <v>Chieu</v>
      </c>
      <c r="M91" s="2">
        <f t="shared" si="5"/>
        <v>15</v>
      </c>
    </row>
    <row r="92" spans="1:13" ht="15.75" customHeight="1" x14ac:dyDescent="0.25">
      <c r="A92" s="2" t="s">
        <v>513</v>
      </c>
      <c r="B92" s="2" t="s">
        <v>706</v>
      </c>
      <c r="C92" s="2" t="s">
        <v>717</v>
      </c>
      <c r="D92" s="2" t="s">
        <v>50</v>
      </c>
      <c r="E92" s="2" t="s">
        <v>22</v>
      </c>
      <c r="F92" s="2" t="s">
        <v>186</v>
      </c>
      <c r="G92" s="2">
        <v>1</v>
      </c>
      <c r="H92" s="2">
        <f>VALUE(
 IF(RIGHT(F92,1)="k",
    LEFT(F92,LEN(F92)-1)*1000,
    SUBSTITUTE(SUBSTITUTE(F92,"đ",""),".","")
 )
)</f>
        <v>43000</v>
      </c>
      <c r="I92" s="2">
        <f t="shared" si="3"/>
        <v>43000</v>
      </c>
      <c r="J92" s="4">
        <v>45652</v>
      </c>
      <c r="K92" s="2" t="s">
        <v>187</v>
      </c>
      <c r="L92" s="2" t="str">
        <f t="shared" si="4"/>
        <v>Sang</v>
      </c>
      <c r="M92" s="2">
        <f t="shared" si="5"/>
        <v>7</v>
      </c>
    </row>
    <row r="93" spans="1:13" ht="15.75" customHeight="1" x14ac:dyDescent="0.25">
      <c r="A93" s="2" t="s">
        <v>514</v>
      </c>
      <c r="B93" s="2" t="s">
        <v>709</v>
      </c>
      <c r="C93" s="2" t="s">
        <v>714</v>
      </c>
      <c r="D93" s="2" t="s">
        <v>28</v>
      </c>
      <c r="E93" s="2" t="s">
        <v>29</v>
      </c>
      <c r="F93" s="2" t="s">
        <v>35</v>
      </c>
      <c r="G93" s="2">
        <v>1</v>
      </c>
      <c r="H93" s="2">
        <f>VALUE(
 IF(RIGHT(F93,1)="k",
    LEFT(F93,LEN(F93)-1)*1000,
    SUBSTITUTE(SUBSTITUTE(F93,"đ",""),".","")
 )
)</f>
        <v>35000</v>
      </c>
      <c r="I93" s="2">
        <f t="shared" si="3"/>
        <v>35000</v>
      </c>
      <c r="J93" s="4">
        <v>45635</v>
      </c>
      <c r="K93" s="2" t="s">
        <v>188</v>
      </c>
      <c r="L93" s="2" t="str">
        <f t="shared" si="4"/>
        <v>Sang</v>
      </c>
      <c r="M93" s="2">
        <f t="shared" si="5"/>
        <v>9</v>
      </c>
    </row>
    <row r="94" spans="1:13" ht="15.75" customHeight="1" x14ac:dyDescent="0.25">
      <c r="A94" s="2" t="s">
        <v>515</v>
      </c>
      <c r="B94" s="2" t="s">
        <v>709</v>
      </c>
      <c r="C94" s="2" t="s">
        <v>721</v>
      </c>
      <c r="D94" s="2" t="s">
        <v>21</v>
      </c>
      <c r="E94" s="2" t="s">
        <v>22</v>
      </c>
      <c r="F94" s="2" t="s">
        <v>94</v>
      </c>
      <c r="G94" s="2">
        <v>1</v>
      </c>
      <c r="H94" s="2">
        <f>VALUE(
 IF(RIGHT(F94,1)="k",
    LEFT(F94,LEN(F94)-1)*1000,
    SUBSTITUTE(SUBSTITUTE(F94,"đ",""),".","")
 )
)</f>
        <v>38000</v>
      </c>
      <c r="I94" s="2">
        <f t="shared" si="3"/>
        <v>38000</v>
      </c>
      <c r="J94" s="4">
        <v>45547</v>
      </c>
      <c r="K94" s="2" t="s">
        <v>189</v>
      </c>
      <c r="L94" s="2" t="str">
        <f t="shared" si="4"/>
        <v>Trua</v>
      </c>
      <c r="M94" s="2">
        <f t="shared" si="5"/>
        <v>12</v>
      </c>
    </row>
    <row r="95" spans="1:13" ht="15.75" customHeight="1" x14ac:dyDescent="0.25">
      <c r="A95" s="2" t="s">
        <v>516</v>
      </c>
      <c r="B95" s="2" t="s">
        <v>707</v>
      </c>
      <c r="C95" s="2" t="s">
        <v>713</v>
      </c>
      <c r="D95" s="2" t="s">
        <v>64</v>
      </c>
      <c r="E95" s="2" t="s">
        <v>29</v>
      </c>
      <c r="F95" s="2" t="s">
        <v>190</v>
      </c>
      <c r="G95" s="2">
        <v>1</v>
      </c>
      <c r="H95" s="2">
        <f>VALUE(
 IF(RIGHT(F95,1)="k",
    LEFT(F95,LEN(F95)-1)*1000,
    SUBSTITUTE(SUBSTITUTE(F95,"đ",""),".","")
 )
)</f>
        <v>49840</v>
      </c>
      <c r="I95" s="2">
        <f t="shared" si="3"/>
        <v>49840</v>
      </c>
      <c r="J95" s="4">
        <v>45638</v>
      </c>
      <c r="K95" s="2" t="s">
        <v>191</v>
      </c>
      <c r="L95" s="2" t="str">
        <f t="shared" si="4"/>
        <v>Sang</v>
      </c>
      <c r="M95" s="2">
        <f t="shared" si="5"/>
        <v>7</v>
      </c>
    </row>
    <row r="96" spans="1:13" ht="15.75" customHeight="1" x14ac:dyDescent="0.25">
      <c r="A96" s="2" t="s">
        <v>517</v>
      </c>
      <c r="B96" s="2" t="s">
        <v>708</v>
      </c>
      <c r="C96" s="2" t="s">
        <v>714</v>
      </c>
      <c r="D96" s="2" t="s">
        <v>13</v>
      </c>
      <c r="E96" s="2" t="s">
        <v>87</v>
      </c>
      <c r="F96" s="2" t="s">
        <v>192</v>
      </c>
      <c r="G96" s="2">
        <v>3</v>
      </c>
      <c r="H96" s="2">
        <f>VALUE(
 IF(RIGHT(F96,1)="k",
    LEFT(F96,LEN(F96)-1)*1000,
    SUBSTITUTE(SUBSTITUTE(F96,"đ",""),".","")
 )
)</f>
        <v>34000</v>
      </c>
      <c r="I96" s="2">
        <f t="shared" si="3"/>
        <v>102000</v>
      </c>
      <c r="J96" s="4">
        <v>45647</v>
      </c>
      <c r="K96" s="2" t="s">
        <v>193</v>
      </c>
      <c r="L96" s="2" t="str">
        <f t="shared" si="4"/>
        <v>Trua</v>
      </c>
      <c r="M96" s="2">
        <f t="shared" si="5"/>
        <v>11</v>
      </c>
    </row>
    <row r="97" spans="1:13" ht="15.75" customHeight="1" x14ac:dyDescent="0.25">
      <c r="A97" s="2" t="s">
        <v>518</v>
      </c>
      <c r="B97" s="2" t="s">
        <v>707</v>
      </c>
      <c r="C97" s="2" t="s">
        <v>710</v>
      </c>
      <c r="D97" s="2" t="s">
        <v>45</v>
      </c>
      <c r="E97" s="2" t="s">
        <v>29</v>
      </c>
      <c r="F97" s="2" t="s">
        <v>194</v>
      </c>
      <c r="G97" s="2">
        <v>2</v>
      </c>
      <c r="H97" s="2">
        <f>VALUE(
 IF(RIGHT(F97,1)="k",
    LEFT(F97,LEN(F97)-1)*1000,
    SUBSTITUTE(SUBSTITUTE(F97,"đ",""),".","")
 )
)</f>
        <v>29774</v>
      </c>
      <c r="I97" s="2">
        <f t="shared" si="3"/>
        <v>59548</v>
      </c>
      <c r="J97" s="4">
        <v>45363</v>
      </c>
      <c r="K97" s="2" t="s">
        <v>195</v>
      </c>
      <c r="L97" s="2" t="str">
        <f t="shared" si="4"/>
        <v>Sang</v>
      </c>
      <c r="M97" s="2">
        <f t="shared" si="5"/>
        <v>9</v>
      </c>
    </row>
    <row r="98" spans="1:13" ht="15.75" customHeight="1" x14ac:dyDescent="0.25">
      <c r="A98" s="2" t="s">
        <v>519</v>
      </c>
      <c r="B98" s="2" t="s">
        <v>707</v>
      </c>
      <c r="C98" s="2" t="s">
        <v>719</v>
      </c>
      <c r="D98" s="2" t="s">
        <v>58</v>
      </c>
      <c r="E98" s="2" t="s">
        <v>22</v>
      </c>
      <c r="F98" s="2" t="s">
        <v>65</v>
      </c>
      <c r="G98" s="2">
        <v>1</v>
      </c>
      <c r="H98" s="2">
        <f>VALUE(
 IF(RIGHT(F98,1)="k",
    LEFT(F98,LEN(F98)-1)*1000,
    SUBSTITUTE(SUBSTITUTE(F98,"đ",""),".","")
 )
)</f>
        <v>52000</v>
      </c>
      <c r="I98" s="2">
        <f t="shared" si="3"/>
        <v>52000</v>
      </c>
      <c r="J98" s="4">
        <v>45646</v>
      </c>
      <c r="K98" s="2" t="s">
        <v>196</v>
      </c>
      <c r="L98" s="2" t="str">
        <f t="shared" si="4"/>
        <v>Toi</v>
      </c>
      <c r="M98" s="2">
        <f t="shared" si="5"/>
        <v>20</v>
      </c>
    </row>
    <row r="99" spans="1:13" ht="15.75" customHeight="1" x14ac:dyDescent="0.25">
      <c r="A99" s="2" t="s">
        <v>520</v>
      </c>
      <c r="B99" s="2" t="s">
        <v>709</v>
      </c>
      <c r="C99" s="2" t="s">
        <v>714</v>
      </c>
      <c r="D99" s="2" t="s">
        <v>115</v>
      </c>
      <c r="E99" s="2" t="s">
        <v>29</v>
      </c>
      <c r="F99" s="2" t="s">
        <v>197</v>
      </c>
      <c r="G99" s="2">
        <v>3</v>
      </c>
      <c r="H99" s="2">
        <f>VALUE(
 IF(RIGHT(F99,1)="k",
    LEFT(F99,LEN(F99)-1)*1000,
    SUBSTITUTE(SUBSTITUTE(F99,"đ",""),".","")
 )
)</f>
        <v>52019</v>
      </c>
      <c r="I99" s="2">
        <f t="shared" si="3"/>
        <v>156057</v>
      </c>
      <c r="J99" s="4">
        <v>45639</v>
      </c>
      <c r="K99" s="2" t="s">
        <v>198</v>
      </c>
      <c r="L99" s="2" t="str">
        <f t="shared" si="4"/>
        <v>Chieu</v>
      </c>
      <c r="M99" s="2">
        <f t="shared" si="5"/>
        <v>16</v>
      </c>
    </row>
    <row r="100" spans="1:13" ht="15.75" customHeight="1" x14ac:dyDescent="0.25">
      <c r="A100" s="2" t="s">
        <v>521</v>
      </c>
      <c r="B100" s="2" t="s">
        <v>706</v>
      </c>
      <c r="C100" s="2" t="s">
        <v>718</v>
      </c>
      <c r="D100" s="2" t="s">
        <v>58</v>
      </c>
      <c r="E100" s="2" t="s">
        <v>22</v>
      </c>
      <c r="F100" s="2" t="s">
        <v>59</v>
      </c>
      <c r="G100" s="2">
        <v>3</v>
      </c>
      <c r="H100" s="2">
        <f>VALUE(
 IF(RIGHT(F100,1)="k",
    LEFT(F100,LEN(F100)-1)*1000,
    SUBSTITUTE(SUBSTITUTE(F100,"đ",""),".","")
 )
)</f>
        <v>54000</v>
      </c>
      <c r="I100" s="2">
        <f t="shared" si="3"/>
        <v>162000</v>
      </c>
      <c r="J100" s="4">
        <v>45636</v>
      </c>
      <c r="K100" s="2" t="s">
        <v>199</v>
      </c>
      <c r="L100" s="2" t="str">
        <f t="shared" si="4"/>
        <v>Trua</v>
      </c>
      <c r="M100" s="2">
        <f t="shared" si="5"/>
        <v>12</v>
      </c>
    </row>
    <row r="101" spans="1:13" ht="15.75" customHeight="1" x14ac:dyDescent="0.25">
      <c r="A101" s="2" t="s">
        <v>522</v>
      </c>
      <c r="B101" s="2" t="s">
        <v>707</v>
      </c>
      <c r="C101" s="2" t="s">
        <v>711</v>
      </c>
      <c r="D101" s="2" t="s">
        <v>61</v>
      </c>
      <c r="E101" s="2" t="s">
        <v>76</v>
      </c>
      <c r="F101" s="2" t="s">
        <v>200</v>
      </c>
      <c r="G101" s="2">
        <v>1</v>
      </c>
      <c r="H101" s="2">
        <f>VALUE(
 IF(RIGHT(F101,1)="k",
    LEFT(F101,LEN(F101)-1)*1000,
    SUBSTITUTE(SUBSTITUTE(F101,"đ",""),".","")
 )
)</f>
        <v>47000</v>
      </c>
      <c r="I101" s="2">
        <f t="shared" si="3"/>
        <v>47000</v>
      </c>
      <c r="J101" s="4">
        <v>45648</v>
      </c>
      <c r="K101" s="2" t="s">
        <v>201</v>
      </c>
      <c r="L101" s="2" t="str">
        <f t="shared" si="4"/>
        <v>Sang</v>
      </c>
      <c r="M101" s="2">
        <f t="shared" si="5"/>
        <v>10</v>
      </c>
    </row>
    <row r="102" spans="1:13" ht="15.75" customHeight="1" x14ac:dyDescent="0.25">
      <c r="A102" s="2" t="s">
        <v>523</v>
      </c>
      <c r="B102" s="2" t="s">
        <v>705</v>
      </c>
      <c r="C102" s="2" t="s">
        <v>720</v>
      </c>
      <c r="D102" s="2" t="s">
        <v>13</v>
      </c>
      <c r="E102" s="2" t="s">
        <v>34</v>
      </c>
      <c r="F102" s="2" t="s">
        <v>202</v>
      </c>
      <c r="G102" s="2">
        <v>1</v>
      </c>
      <c r="H102" s="2">
        <f>VALUE(
 IF(RIGHT(F102,1)="k",
    LEFT(F102,LEN(F102)-1)*1000,
    SUBSTITUTE(SUBSTITUTE(F102,"đ",""),".","")
 )
)</f>
        <v>34922</v>
      </c>
      <c r="I102" s="2">
        <f t="shared" si="3"/>
        <v>34922</v>
      </c>
      <c r="J102" s="4">
        <v>45649</v>
      </c>
      <c r="K102" s="2" t="s">
        <v>203</v>
      </c>
      <c r="L102" s="2" t="str">
        <f t="shared" si="4"/>
        <v>Toi</v>
      </c>
      <c r="M102" s="2">
        <f t="shared" si="5"/>
        <v>18</v>
      </c>
    </row>
    <row r="103" spans="1:13" ht="15.75" customHeight="1" x14ac:dyDescent="0.25">
      <c r="A103" s="2" t="s">
        <v>524</v>
      </c>
      <c r="B103" s="2" t="s">
        <v>709</v>
      </c>
      <c r="C103" s="2" t="s">
        <v>716</v>
      </c>
      <c r="D103" s="2" t="s">
        <v>50</v>
      </c>
      <c r="E103" s="2" t="s">
        <v>22</v>
      </c>
      <c r="F103" s="2" t="s">
        <v>204</v>
      </c>
      <c r="G103" s="2">
        <v>2</v>
      </c>
      <c r="H103" s="2">
        <f>VALUE(
 IF(RIGHT(F103,1)="k",
    LEFT(F103,LEN(F103)-1)*1000,
    SUBSTITUTE(SUBSTITUTE(F103,"đ",""),".","")
 )
)</f>
        <v>45000</v>
      </c>
      <c r="I103" s="2">
        <f t="shared" si="3"/>
        <v>90000</v>
      </c>
      <c r="J103" s="4">
        <v>45639</v>
      </c>
      <c r="K103" s="2" t="s">
        <v>205</v>
      </c>
      <c r="L103" s="2" t="str">
        <f t="shared" si="4"/>
        <v>Toi</v>
      </c>
      <c r="M103" s="2">
        <f t="shared" si="5"/>
        <v>17</v>
      </c>
    </row>
    <row r="104" spans="1:13" ht="15.75" customHeight="1" x14ac:dyDescent="0.25">
      <c r="A104" s="2" t="s">
        <v>525</v>
      </c>
      <c r="B104" s="2" t="s">
        <v>709</v>
      </c>
      <c r="C104" s="2" t="s">
        <v>722</v>
      </c>
      <c r="D104" s="2" t="s">
        <v>25</v>
      </c>
      <c r="E104" s="2" t="s">
        <v>18</v>
      </c>
      <c r="F104" s="2" t="s">
        <v>206</v>
      </c>
      <c r="G104" s="2">
        <v>3</v>
      </c>
      <c r="H104" s="2">
        <f>VALUE(
 IF(RIGHT(F104,1)="k",
    LEFT(F104,LEN(F104)-1)*1000,
    SUBSTITUTE(SUBSTITUTE(F104,"đ",""),".","")
 )
)</f>
        <v>39374</v>
      </c>
      <c r="I104" s="2">
        <f t="shared" si="3"/>
        <v>118122</v>
      </c>
      <c r="J104" s="4">
        <v>45650</v>
      </c>
      <c r="K104" s="2" t="s">
        <v>207</v>
      </c>
      <c r="L104" s="2" t="str">
        <f t="shared" si="4"/>
        <v>Sang</v>
      </c>
      <c r="M104" s="2">
        <f t="shared" si="5"/>
        <v>9</v>
      </c>
    </row>
    <row r="105" spans="1:13" ht="15.75" customHeight="1" x14ac:dyDescent="0.25">
      <c r="A105" s="2" t="s">
        <v>526</v>
      </c>
      <c r="B105" s="2" t="s">
        <v>708</v>
      </c>
      <c r="C105" s="2" t="s">
        <v>712</v>
      </c>
      <c r="D105" s="2" t="s">
        <v>61</v>
      </c>
      <c r="E105" s="2" t="s">
        <v>76</v>
      </c>
      <c r="F105" s="2" t="s">
        <v>208</v>
      </c>
      <c r="G105" s="2">
        <v>3</v>
      </c>
      <c r="H105" s="2">
        <f>VALUE(
 IF(RIGHT(F105,1)="k",
    LEFT(F105,LEN(F105)-1)*1000,
    SUBSTITUTE(SUBSTITUTE(F105,"đ",""),".","")
 )
)</f>
        <v>50592</v>
      </c>
      <c r="I105" s="2">
        <f t="shared" si="3"/>
        <v>151776</v>
      </c>
      <c r="J105" s="4">
        <v>45633</v>
      </c>
      <c r="K105" s="2" t="s">
        <v>209</v>
      </c>
      <c r="L105" s="2" t="str">
        <f t="shared" si="4"/>
        <v>Sang</v>
      </c>
      <c r="M105" s="2">
        <f t="shared" si="5"/>
        <v>9</v>
      </c>
    </row>
    <row r="106" spans="1:13" ht="15.75" customHeight="1" x14ac:dyDescent="0.25">
      <c r="A106" s="2" t="s">
        <v>527</v>
      </c>
      <c r="B106" s="2" t="s">
        <v>709</v>
      </c>
      <c r="C106" s="2" t="s">
        <v>714</v>
      </c>
      <c r="D106" s="2" t="s">
        <v>71</v>
      </c>
      <c r="E106" s="2" t="s">
        <v>34</v>
      </c>
      <c r="F106" s="2" t="s">
        <v>94</v>
      </c>
      <c r="G106" s="2">
        <v>1</v>
      </c>
      <c r="H106" s="2">
        <f>VALUE(
 IF(RIGHT(F106,1)="k",
    LEFT(F106,LEN(F106)-1)*1000,
    SUBSTITUTE(SUBSTITUTE(F106,"đ",""),".","")
 )
)</f>
        <v>38000</v>
      </c>
      <c r="I106" s="2">
        <f t="shared" si="3"/>
        <v>38000</v>
      </c>
      <c r="J106" s="4">
        <v>45635</v>
      </c>
      <c r="K106" s="2" t="s">
        <v>210</v>
      </c>
      <c r="L106" s="2" t="str">
        <f t="shared" si="4"/>
        <v>Chieu</v>
      </c>
      <c r="M106" s="2">
        <f t="shared" si="5"/>
        <v>14</v>
      </c>
    </row>
    <row r="107" spans="1:13" ht="15.75" customHeight="1" x14ac:dyDescent="0.25">
      <c r="A107" s="2" t="s">
        <v>528</v>
      </c>
      <c r="B107" s="2" t="s">
        <v>705</v>
      </c>
      <c r="C107" s="2" t="s">
        <v>721</v>
      </c>
      <c r="D107" s="2" t="s">
        <v>9</v>
      </c>
      <c r="E107" s="2" t="s">
        <v>76</v>
      </c>
      <c r="F107" s="2" t="s">
        <v>211</v>
      </c>
      <c r="G107" s="2">
        <v>2</v>
      </c>
      <c r="H107" s="2">
        <f>VALUE(
 IF(RIGHT(F107,1)="k",
    LEFT(F107,LEN(F107)-1)*1000,
    SUBSTITUTE(SUBSTITUTE(F107,"đ",""),".","")
 )
)</f>
        <v>47000</v>
      </c>
      <c r="I107" s="2">
        <f t="shared" si="3"/>
        <v>94000</v>
      </c>
      <c r="J107" s="4">
        <v>45648</v>
      </c>
      <c r="K107" s="2" t="s">
        <v>212</v>
      </c>
      <c r="L107" s="2" t="str">
        <f t="shared" si="4"/>
        <v>Sang</v>
      </c>
      <c r="M107" s="2">
        <f t="shared" si="5"/>
        <v>9</v>
      </c>
    </row>
    <row r="108" spans="1:13" ht="15.75" customHeight="1" x14ac:dyDescent="0.25">
      <c r="A108" s="2" t="s">
        <v>529</v>
      </c>
      <c r="B108" s="2" t="s">
        <v>707</v>
      </c>
      <c r="C108" s="2" t="s">
        <v>713</v>
      </c>
      <c r="D108" s="2" t="s">
        <v>9</v>
      </c>
      <c r="E108" s="2" t="s">
        <v>76</v>
      </c>
      <c r="F108" s="2" t="s">
        <v>213</v>
      </c>
      <c r="G108" s="2">
        <v>1</v>
      </c>
      <c r="H108" s="2">
        <f>VALUE(
 IF(RIGHT(F108,1)="k",
    LEFT(F108,LEN(F108)-1)*1000,
    SUBSTITUTE(SUBSTITUTE(F108,"đ",""),".","")
 )
)</f>
        <v>51000</v>
      </c>
      <c r="I108" s="2">
        <f t="shared" si="3"/>
        <v>51000</v>
      </c>
      <c r="J108" s="4">
        <v>45633</v>
      </c>
      <c r="K108" s="2" t="s">
        <v>214</v>
      </c>
      <c r="L108" s="2" t="str">
        <f t="shared" si="4"/>
        <v>Toi</v>
      </c>
      <c r="M108" s="2">
        <f t="shared" si="5"/>
        <v>18</v>
      </c>
    </row>
    <row r="109" spans="1:13" ht="15.75" customHeight="1" x14ac:dyDescent="0.25">
      <c r="A109" s="2" t="s">
        <v>530</v>
      </c>
      <c r="B109" s="2" t="s">
        <v>708</v>
      </c>
      <c r="C109" s="2" t="s">
        <v>718</v>
      </c>
      <c r="D109" s="2" t="s">
        <v>50</v>
      </c>
      <c r="E109" s="2" t="s">
        <v>22</v>
      </c>
      <c r="F109" s="2" t="s">
        <v>215</v>
      </c>
      <c r="G109" s="2">
        <v>1</v>
      </c>
      <c r="H109" s="2">
        <f>VALUE(
 IF(RIGHT(F109,1)="k",
    LEFT(F109,LEN(F109)-1)*1000,
    SUBSTITUTE(SUBSTITUTE(F109,"đ",""),".","")
 )
)</f>
        <v>45000</v>
      </c>
      <c r="I109" s="2">
        <f t="shared" si="3"/>
        <v>45000</v>
      </c>
      <c r="J109" s="4">
        <v>45642</v>
      </c>
      <c r="K109" s="2" t="s">
        <v>216</v>
      </c>
      <c r="L109" s="2" t="str">
        <f t="shared" si="4"/>
        <v>Chieu</v>
      </c>
      <c r="M109" s="2">
        <f t="shared" si="5"/>
        <v>14</v>
      </c>
    </row>
    <row r="110" spans="1:13" ht="15.75" customHeight="1" x14ac:dyDescent="0.25">
      <c r="A110" s="2" t="s">
        <v>531</v>
      </c>
      <c r="B110" s="2" t="s">
        <v>706</v>
      </c>
      <c r="C110" s="2" t="s">
        <v>712</v>
      </c>
      <c r="D110" s="2" t="s">
        <v>13</v>
      </c>
      <c r="E110" s="2" t="s">
        <v>87</v>
      </c>
      <c r="F110" s="2" t="s">
        <v>217</v>
      </c>
      <c r="G110" s="2">
        <v>3</v>
      </c>
      <c r="H110" s="2">
        <f>VALUE(
 IF(RIGHT(F110,1)="k",
    LEFT(F110,LEN(F110)-1)*1000,
    SUBSTITUTE(SUBSTITUTE(F110,"đ",""),".","")
 )
)</f>
        <v>35872</v>
      </c>
      <c r="I110" s="2">
        <f t="shared" si="3"/>
        <v>107616</v>
      </c>
      <c r="J110" s="4">
        <v>45645</v>
      </c>
      <c r="K110" s="2" t="s">
        <v>218</v>
      </c>
      <c r="L110" s="2" t="str">
        <f t="shared" si="4"/>
        <v>Chieu</v>
      </c>
      <c r="M110" s="2">
        <f t="shared" si="5"/>
        <v>14</v>
      </c>
    </row>
    <row r="111" spans="1:13" ht="15.75" customHeight="1" x14ac:dyDescent="0.25">
      <c r="A111" s="2" t="s">
        <v>532</v>
      </c>
      <c r="B111" s="2" t="s">
        <v>706</v>
      </c>
      <c r="C111" s="2" t="s">
        <v>718</v>
      </c>
      <c r="D111" s="2" t="s">
        <v>17</v>
      </c>
      <c r="E111" s="2" t="s">
        <v>112</v>
      </c>
      <c r="F111" s="2" t="s">
        <v>23</v>
      </c>
      <c r="G111" s="2">
        <v>2</v>
      </c>
      <c r="H111" s="2">
        <f>VALUE(
 IF(RIGHT(F111,1)="k",
    LEFT(F111,LEN(F111)-1)*1000,
    SUBSTITUTE(SUBSTITUTE(F111,"đ",""),".","")
 )
)</f>
        <v>41000</v>
      </c>
      <c r="I111" s="2">
        <f t="shared" si="3"/>
        <v>82000</v>
      </c>
      <c r="J111" s="4">
        <v>45644</v>
      </c>
      <c r="K111" s="2" t="s">
        <v>219</v>
      </c>
      <c r="L111" s="2" t="str">
        <f t="shared" si="4"/>
        <v>Trua</v>
      </c>
      <c r="M111" s="2">
        <f t="shared" si="5"/>
        <v>11</v>
      </c>
    </row>
    <row r="112" spans="1:13" ht="15.75" customHeight="1" x14ac:dyDescent="0.25">
      <c r="A112" s="2" t="s">
        <v>533</v>
      </c>
      <c r="B112" s="2" t="s">
        <v>705</v>
      </c>
      <c r="C112" s="2" t="s">
        <v>721</v>
      </c>
      <c r="D112" s="2" t="s">
        <v>220</v>
      </c>
      <c r="E112" s="2" t="s">
        <v>29</v>
      </c>
      <c r="F112" s="2" t="s">
        <v>221</v>
      </c>
      <c r="G112" s="2">
        <v>1</v>
      </c>
      <c r="H112" s="2">
        <f>VALUE(
 IF(RIGHT(F112,1)="k",
    LEFT(F112,LEN(F112)-1)*1000,
    SUBSTITUTE(SUBSTITUTE(F112,"đ",""),".","")
 )
)</f>
        <v>62000</v>
      </c>
      <c r="I112" s="2">
        <f t="shared" si="3"/>
        <v>62000</v>
      </c>
      <c r="J112" s="4">
        <v>45638</v>
      </c>
      <c r="K112" s="2" t="s">
        <v>222</v>
      </c>
      <c r="L112" s="2" t="str">
        <f t="shared" si="4"/>
        <v>Chieu</v>
      </c>
      <c r="M112" s="2">
        <f t="shared" si="5"/>
        <v>16</v>
      </c>
    </row>
    <row r="113" spans="1:13" ht="15.75" customHeight="1" x14ac:dyDescent="0.25">
      <c r="A113" s="2" t="s">
        <v>534</v>
      </c>
      <c r="B113" s="2" t="s">
        <v>708</v>
      </c>
      <c r="C113" s="2" t="s">
        <v>713</v>
      </c>
      <c r="D113" s="2" t="s">
        <v>17</v>
      </c>
      <c r="E113" s="2" t="s">
        <v>112</v>
      </c>
      <c r="F113" s="2" t="s">
        <v>38</v>
      </c>
      <c r="G113" s="2">
        <v>1</v>
      </c>
      <c r="H113" s="2">
        <f>VALUE(
 IF(RIGHT(F113,1)="k",
    LEFT(F113,LEN(F113)-1)*1000,
    SUBSTITUTE(SUBSTITUTE(F113,"đ",""),".","")
 )
)</f>
        <v>39000</v>
      </c>
      <c r="I113" s="2">
        <f t="shared" si="3"/>
        <v>39000</v>
      </c>
      <c r="J113" s="4">
        <v>45631</v>
      </c>
      <c r="K113" s="2" t="s">
        <v>223</v>
      </c>
      <c r="L113" s="2" t="str">
        <f t="shared" si="4"/>
        <v>Sang</v>
      </c>
      <c r="M113" s="2">
        <f t="shared" si="5"/>
        <v>9</v>
      </c>
    </row>
    <row r="114" spans="1:13" ht="15.75" customHeight="1" x14ac:dyDescent="0.25">
      <c r="A114" s="2" t="s">
        <v>535</v>
      </c>
      <c r="B114" s="2" t="s">
        <v>706</v>
      </c>
      <c r="C114" s="2" t="s">
        <v>718</v>
      </c>
      <c r="D114" s="2" t="s">
        <v>21</v>
      </c>
      <c r="E114" s="2" t="s">
        <v>22</v>
      </c>
      <c r="F114" s="2" t="s">
        <v>23</v>
      </c>
      <c r="G114" s="2">
        <v>2</v>
      </c>
      <c r="H114" s="2">
        <f>VALUE(
 IF(RIGHT(F114,1)="k",
    LEFT(F114,LEN(F114)-1)*1000,
    SUBSTITUTE(SUBSTITUTE(F114,"đ",""),".","")
 )
)</f>
        <v>41000</v>
      </c>
      <c r="I114" s="2">
        <f t="shared" si="3"/>
        <v>82000</v>
      </c>
      <c r="J114" s="4">
        <v>45641</v>
      </c>
      <c r="K114" s="2" t="s">
        <v>224</v>
      </c>
      <c r="L114" s="2" t="str">
        <f t="shared" si="4"/>
        <v>Sang</v>
      </c>
      <c r="M114" s="2">
        <f t="shared" si="5"/>
        <v>9</v>
      </c>
    </row>
    <row r="115" spans="1:13" ht="15.75" customHeight="1" x14ac:dyDescent="0.25">
      <c r="A115" s="2" t="s">
        <v>536</v>
      </c>
      <c r="B115" s="2" t="s">
        <v>705</v>
      </c>
      <c r="C115" s="2" t="s">
        <v>711</v>
      </c>
      <c r="D115" s="2" t="s">
        <v>45</v>
      </c>
      <c r="E115" s="2" t="s">
        <v>29</v>
      </c>
      <c r="F115" s="2" t="s">
        <v>225</v>
      </c>
      <c r="G115" s="2">
        <v>1</v>
      </c>
      <c r="H115" s="2">
        <f>VALUE(
 IF(RIGHT(F115,1)="k",
    LEFT(F115,LEN(F115)-1)*1000,
    SUBSTITUTE(SUBSTITUTE(F115,"đ",""),".","")
 )
)</f>
        <v>29000</v>
      </c>
      <c r="I115" s="2">
        <f t="shared" si="3"/>
        <v>29000</v>
      </c>
      <c r="J115" s="4">
        <v>45633</v>
      </c>
      <c r="K115" s="2" t="s">
        <v>226</v>
      </c>
      <c r="L115" s="2" t="str">
        <f t="shared" si="4"/>
        <v>Trua</v>
      </c>
      <c r="M115" s="2">
        <f t="shared" si="5"/>
        <v>12</v>
      </c>
    </row>
    <row r="116" spans="1:13" ht="15.75" customHeight="1" x14ac:dyDescent="0.25">
      <c r="A116" s="2" t="s">
        <v>537</v>
      </c>
      <c r="B116" s="2" t="s">
        <v>707</v>
      </c>
      <c r="C116" s="2" t="s">
        <v>717</v>
      </c>
      <c r="D116" s="2" t="s">
        <v>115</v>
      </c>
      <c r="E116" s="2" t="s">
        <v>29</v>
      </c>
      <c r="F116" s="2" t="s">
        <v>227</v>
      </c>
      <c r="G116" s="2">
        <v>4</v>
      </c>
      <c r="H116" s="2">
        <f>VALUE(
 IF(RIGHT(F116,1)="k",
    LEFT(F116,LEN(F116)-1)*1000,
    SUBSTITUTE(SUBSTITUTE(F116,"đ",""),".","")
 )
)</f>
        <v>49822</v>
      </c>
      <c r="I116" s="2">
        <f t="shared" si="3"/>
        <v>199288</v>
      </c>
      <c r="J116" s="4">
        <v>45650</v>
      </c>
      <c r="K116" s="2" t="s">
        <v>228</v>
      </c>
      <c r="L116" s="2" t="str">
        <f t="shared" si="4"/>
        <v>Toi</v>
      </c>
      <c r="M116" s="2">
        <f t="shared" si="5"/>
        <v>17</v>
      </c>
    </row>
    <row r="117" spans="1:13" ht="15.75" customHeight="1" x14ac:dyDescent="0.25">
      <c r="A117" s="2" t="s">
        <v>538</v>
      </c>
      <c r="B117" s="2" t="s">
        <v>705</v>
      </c>
      <c r="C117" s="2" t="s">
        <v>712</v>
      </c>
      <c r="D117" s="2" t="s">
        <v>45</v>
      </c>
      <c r="E117" s="2" t="s">
        <v>29</v>
      </c>
      <c r="F117" s="2" t="s">
        <v>46</v>
      </c>
      <c r="G117" s="2">
        <v>1</v>
      </c>
      <c r="H117" s="2">
        <f>VALUE(
 IF(RIGHT(F117,1)="k",
    LEFT(F117,LEN(F117)-1)*1000,
    SUBSTITUTE(SUBSTITUTE(F117,"đ",""),".","")
 )
)</f>
        <v>28000</v>
      </c>
      <c r="I117" s="2">
        <f t="shared" si="3"/>
        <v>28000</v>
      </c>
      <c r="J117" s="4">
        <v>45394</v>
      </c>
      <c r="K117" s="2" t="s">
        <v>229</v>
      </c>
      <c r="L117" s="2" t="str">
        <f t="shared" si="4"/>
        <v>Trua</v>
      </c>
      <c r="M117" s="2">
        <f t="shared" si="5"/>
        <v>12</v>
      </c>
    </row>
    <row r="118" spans="1:13" ht="15.75" customHeight="1" x14ac:dyDescent="0.25">
      <c r="A118" s="2" t="s">
        <v>539</v>
      </c>
      <c r="B118" s="2" t="s">
        <v>709</v>
      </c>
      <c r="C118" s="2" t="s">
        <v>713</v>
      </c>
      <c r="D118" s="2" t="s">
        <v>21</v>
      </c>
      <c r="E118" s="2" t="s">
        <v>22</v>
      </c>
      <c r="F118" s="2" t="s">
        <v>230</v>
      </c>
      <c r="G118" s="2">
        <v>3</v>
      </c>
      <c r="H118" s="2">
        <f>VALUE(
 IF(RIGHT(F118,1)="k",
    LEFT(F118,LEN(F118)-1)*1000,
    SUBSTITUTE(SUBSTITUTE(F118,"đ",""),".","")
 )
)</f>
        <v>41302</v>
      </c>
      <c r="I118" s="2">
        <f t="shared" si="3"/>
        <v>123906</v>
      </c>
      <c r="J118" s="4">
        <v>45608</v>
      </c>
      <c r="K118" s="2" t="s">
        <v>231</v>
      </c>
      <c r="L118" s="2" t="str">
        <f t="shared" si="4"/>
        <v>Sang</v>
      </c>
      <c r="M118" s="2">
        <f t="shared" si="5"/>
        <v>7</v>
      </c>
    </row>
    <row r="119" spans="1:13" ht="15.75" customHeight="1" x14ac:dyDescent="0.25">
      <c r="A119" s="2" t="s">
        <v>540</v>
      </c>
      <c r="B119" s="2" t="s">
        <v>708</v>
      </c>
      <c r="C119" s="2" t="s">
        <v>718</v>
      </c>
      <c r="D119" s="2" t="s">
        <v>79</v>
      </c>
      <c r="E119" s="2" t="s">
        <v>29</v>
      </c>
      <c r="F119" s="2" t="s">
        <v>67</v>
      </c>
      <c r="G119" s="2">
        <v>1</v>
      </c>
      <c r="H119" s="2">
        <f>VALUE(
 IF(RIGHT(F119,1)="k",
    LEFT(F119,LEN(F119)-1)*1000,
    SUBSTITUTE(SUBSTITUTE(F119,"đ",""),".","")
 )
)</f>
        <v>54000</v>
      </c>
      <c r="I119" s="2">
        <f t="shared" si="3"/>
        <v>54000</v>
      </c>
      <c r="J119" s="4">
        <v>45639</v>
      </c>
      <c r="K119" s="2" t="s">
        <v>232</v>
      </c>
      <c r="L119" s="2" t="str">
        <f t="shared" si="4"/>
        <v>Toi</v>
      </c>
      <c r="M119" s="2">
        <f t="shared" si="5"/>
        <v>19</v>
      </c>
    </row>
    <row r="120" spans="1:13" ht="15.75" customHeight="1" x14ac:dyDescent="0.25">
      <c r="A120" s="2" t="s">
        <v>541</v>
      </c>
      <c r="B120" s="2" t="s">
        <v>709</v>
      </c>
      <c r="C120" s="2" t="s">
        <v>714</v>
      </c>
      <c r="D120" s="2" t="s">
        <v>53</v>
      </c>
      <c r="E120" s="2" t="s">
        <v>10</v>
      </c>
      <c r="F120" s="2" t="s">
        <v>161</v>
      </c>
      <c r="G120" s="2">
        <v>3</v>
      </c>
      <c r="H120" s="2">
        <f>VALUE(
 IF(RIGHT(F120,1)="k",
    LEFT(F120,LEN(F120)-1)*1000,
    SUBSTITUTE(SUBSTITUTE(F120,"đ",""),".","")
 )
)</f>
        <v>44000</v>
      </c>
      <c r="I120" s="2">
        <f t="shared" si="3"/>
        <v>132000</v>
      </c>
      <c r="J120" s="4">
        <v>45633</v>
      </c>
      <c r="K120" s="2" t="s">
        <v>233</v>
      </c>
      <c r="L120" s="2" t="str">
        <f t="shared" si="4"/>
        <v>Sang</v>
      </c>
      <c r="M120" s="2">
        <f t="shared" si="5"/>
        <v>8</v>
      </c>
    </row>
    <row r="121" spans="1:13" ht="15.75" customHeight="1" x14ac:dyDescent="0.25">
      <c r="A121" s="2" t="s">
        <v>542</v>
      </c>
      <c r="B121" s="2" t="s">
        <v>709</v>
      </c>
      <c r="C121" s="2" t="s">
        <v>711</v>
      </c>
      <c r="D121" s="2" t="s">
        <v>25</v>
      </c>
      <c r="E121" s="2" t="s">
        <v>112</v>
      </c>
      <c r="F121" s="2" t="s">
        <v>234</v>
      </c>
      <c r="G121" s="2">
        <v>1</v>
      </c>
      <c r="H121" s="2">
        <f>VALUE(
 IF(RIGHT(F121,1)="k",
    LEFT(F121,LEN(F121)-1)*1000,
    SUBSTITUTE(SUBSTITUTE(F121,"đ",""),".","")
 )
)</f>
        <v>41252</v>
      </c>
      <c r="I121" s="2">
        <f t="shared" si="3"/>
        <v>41252</v>
      </c>
      <c r="J121" s="4">
        <v>45634</v>
      </c>
      <c r="K121" s="2" t="s">
        <v>235</v>
      </c>
      <c r="L121" s="2" t="str">
        <f t="shared" si="4"/>
        <v>Chieu</v>
      </c>
      <c r="M121" s="2">
        <f t="shared" si="5"/>
        <v>15</v>
      </c>
    </row>
    <row r="122" spans="1:13" ht="15.75" customHeight="1" x14ac:dyDescent="0.25">
      <c r="A122" s="2" t="s">
        <v>543</v>
      </c>
      <c r="B122" s="2" t="s">
        <v>709</v>
      </c>
      <c r="C122" s="2" t="s">
        <v>723</v>
      </c>
      <c r="D122" s="2" t="s">
        <v>71</v>
      </c>
      <c r="E122" s="2" t="s">
        <v>34</v>
      </c>
      <c r="F122" s="2" t="s">
        <v>94</v>
      </c>
      <c r="G122" s="2">
        <v>2</v>
      </c>
      <c r="H122" s="2">
        <f>VALUE(
 IF(RIGHT(F122,1)="k",
    LEFT(F122,LEN(F122)-1)*1000,
    SUBSTITUTE(SUBSTITUTE(F122,"đ",""),".","")
 )
)</f>
        <v>38000</v>
      </c>
      <c r="I122" s="2">
        <f t="shared" si="3"/>
        <v>76000</v>
      </c>
      <c r="J122" s="4">
        <v>45647</v>
      </c>
      <c r="K122" s="2" t="s">
        <v>236</v>
      </c>
      <c r="L122" s="2" t="str">
        <f t="shared" si="4"/>
        <v>Toi</v>
      </c>
      <c r="M122" s="2">
        <f t="shared" si="5"/>
        <v>19</v>
      </c>
    </row>
    <row r="123" spans="1:13" ht="15.75" customHeight="1" x14ac:dyDescent="0.25">
      <c r="A123" s="2" t="s">
        <v>544</v>
      </c>
      <c r="B123" s="2" t="s">
        <v>709</v>
      </c>
      <c r="C123" s="2" t="s">
        <v>719</v>
      </c>
      <c r="D123" s="2" t="s">
        <v>124</v>
      </c>
      <c r="E123" s="2" t="s">
        <v>22</v>
      </c>
      <c r="F123" s="2" t="s">
        <v>100</v>
      </c>
      <c r="G123" s="2">
        <v>2</v>
      </c>
      <c r="H123" s="2">
        <f>VALUE(
 IF(RIGHT(F123,1)="k",
    LEFT(F123,LEN(F123)-1)*1000,
    SUBSTITUTE(SUBSTITUTE(F123,"đ",""),".","")
 )
)</f>
        <v>35000</v>
      </c>
      <c r="I123" s="2">
        <f t="shared" si="3"/>
        <v>70000</v>
      </c>
      <c r="J123" s="4">
        <v>45638</v>
      </c>
      <c r="K123" s="2" t="s">
        <v>237</v>
      </c>
      <c r="L123" s="2" t="str">
        <f t="shared" si="4"/>
        <v>Trua</v>
      </c>
      <c r="M123" s="2">
        <f t="shared" si="5"/>
        <v>12</v>
      </c>
    </row>
    <row r="124" spans="1:13" ht="15.75" customHeight="1" x14ac:dyDescent="0.25">
      <c r="A124" s="2" t="s">
        <v>545</v>
      </c>
      <c r="B124" s="2" t="s">
        <v>706</v>
      </c>
      <c r="C124" s="2" t="s">
        <v>711</v>
      </c>
      <c r="D124" s="2" t="s">
        <v>50</v>
      </c>
      <c r="E124" s="2" t="s">
        <v>22</v>
      </c>
      <c r="F124" s="2" t="s">
        <v>186</v>
      </c>
      <c r="G124" s="2">
        <v>4</v>
      </c>
      <c r="H124" s="2">
        <f>VALUE(
 IF(RIGHT(F124,1)="k",
    LEFT(F124,LEN(F124)-1)*1000,
    SUBSTITUTE(SUBSTITUTE(F124,"đ",""),".","")
 )
)</f>
        <v>43000</v>
      </c>
      <c r="I124" s="2">
        <f t="shared" si="3"/>
        <v>172000</v>
      </c>
      <c r="J124" s="4">
        <v>45394</v>
      </c>
      <c r="K124" s="2" t="s">
        <v>121</v>
      </c>
      <c r="L124" s="2" t="str">
        <f t="shared" si="4"/>
        <v>Sang</v>
      </c>
      <c r="M124" s="2">
        <f t="shared" si="5"/>
        <v>9</v>
      </c>
    </row>
    <row r="125" spans="1:13" ht="15.75" customHeight="1" x14ac:dyDescent="0.25">
      <c r="A125" s="2" t="s">
        <v>546</v>
      </c>
      <c r="B125" s="2" t="s">
        <v>708</v>
      </c>
      <c r="C125" s="2" t="s">
        <v>724</v>
      </c>
      <c r="D125" s="2" t="s">
        <v>13</v>
      </c>
      <c r="E125" s="2" t="s">
        <v>34</v>
      </c>
      <c r="F125" s="2" t="s">
        <v>48</v>
      </c>
      <c r="G125" s="2">
        <v>3</v>
      </c>
      <c r="H125" s="2">
        <f>VALUE(
 IF(RIGHT(F125,1)="k",
    LEFT(F125,LEN(F125)-1)*1000,
    SUBSTITUTE(SUBSTITUTE(F125,"đ",""),".","")
 )
)</f>
        <v>33000</v>
      </c>
      <c r="I125" s="2">
        <f t="shared" si="3"/>
        <v>99000</v>
      </c>
      <c r="J125" s="4">
        <v>45640</v>
      </c>
      <c r="K125" s="2" t="s">
        <v>238</v>
      </c>
      <c r="L125" s="2" t="str">
        <f t="shared" si="4"/>
        <v>Trua</v>
      </c>
      <c r="M125" s="2">
        <f t="shared" si="5"/>
        <v>12</v>
      </c>
    </row>
    <row r="126" spans="1:13" ht="15.75" customHeight="1" x14ac:dyDescent="0.25">
      <c r="A126" s="2" t="s">
        <v>547</v>
      </c>
      <c r="B126" s="2" t="s">
        <v>706</v>
      </c>
      <c r="C126" s="2" t="s">
        <v>720</v>
      </c>
      <c r="D126" s="2" t="s">
        <v>9</v>
      </c>
      <c r="E126" s="2" t="s">
        <v>10</v>
      </c>
      <c r="F126" s="2" t="s">
        <v>43</v>
      </c>
      <c r="G126" s="2">
        <v>2</v>
      </c>
      <c r="H126" s="2">
        <f>VALUE(
 IF(RIGHT(F126,1)="k",
    LEFT(F126,LEN(F126)-1)*1000,
    SUBSTITUTE(SUBSTITUTE(F126,"đ",""),".","")
 )
)</f>
        <v>50000</v>
      </c>
      <c r="I126" s="2">
        <f t="shared" si="3"/>
        <v>100000</v>
      </c>
      <c r="J126" s="4">
        <v>45645</v>
      </c>
      <c r="K126" s="2" t="s">
        <v>117</v>
      </c>
      <c r="L126" s="2" t="str">
        <f t="shared" si="4"/>
        <v>Sang</v>
      </c>
      <c r="M126" s="2">
        <f t="shared" si="5"/>
        <v>9</v>
      </c>
    </row>
    <row r="127" spans="1:13" ht="15.75" customHeight="1" x14ac:dyDescent="0.25">
      <c r="A127" s="2" t="s">
        <v>548</v>
      </c>
      <c r="B127" s="2" t="s">
        <v>706</v>
      </c>
      <c r="C127" s="2" t="s">
        <v>710</v>
      </c>
      <c r="D127" s="2" t="s">
        <v>13</v>
      </c>
      <c r="E127" s="2" t="s">
        <v>34</v>
      </c>
      <c r="F127" s="2" t="s">
        <v>192</v>
      </c>
      <c r="G127" s="2">
        <v>1</v>
      </c>
      <c r="H127" s="2">
        <f>VALUE(
 IF(RIGHT(F127,1)="k",
    LEFT(F127,LEN(F127)-1)*1000,
    SUBSTITUTE(SUBSTITUTE(F127,"đ",""),".","")
 )
)</f>
        <v>34000</v>
      </c>
      <c r="I127" s="2">
        <f t="shared" si="3"/>
        <v>34000</v>
      </c>
      <c r="J127" s="4">
        <v>45608</v>
      </c>
      <c r="K127" s="2" t="s">
        <v>239</v>
      </c>
      <c r="L127" s="2" t="str">
        <f t="shared" si="4"/>
        <v>Trua</v>
      </c>
      <c r="M127" s="2">
        <f t="shared" si="5"/>
        <v>13</v>
      </c>
    </row>
    <row r="128" spans="1:13" ht="15.75" customHeight="1" x14ac:dyDescent="0.25">
      <c r="A128" s="2" t="s">
        <v>549</v>
      </c>
      <c r="B128" s="2" t="s">
        <v>707</v>
      </c>
      <c r="C128" s="2" t="s">
        <v>711</v>
      </c>
      <c r="D128" s="2" t="s">
        <v>42</v>
      </c>
      <c r="E128" s="2" t="s">
        <v>14</v>
      </c>
      <c r="F128" s="2" t="s">
        <v>240</v>
      </c>
      <c r="G128" s="2">
        <v>1</v>
      </c>
      <c r="H128" s="2">
        <f>VALUE(
 IF(RIGHT(F128,1)="k",
    LEFT(F128,LEN(F128)-1)*1000,
    SUBSTITUTE(SUBSTITUTE(F128,"đ",""),".","")
 )
)</f>
        <v>51000</v>
      </c>
      <c r="I128" s="2">
        <f t="shared" si="3"/>
        <v>51000</v>
      </c>
      <c r="J128" s="4">
        <v>45644</v>
      </c>
      <c r="K128" s="2" t="s">
        <v>241</v>
      </c>
      <c r="L128" s="2" t="str">
        <f t="shared" si="4"/>
        <v>Sang</v>
      </c>
      <c r="M128" s="2">
        <f t="shared" si="5"/>
        <v>8</v>
      </c>
    </row>
    <row r="129" spans="1:13" ht="15.75" customHeight="1" x14ac:dyDescent="0.25">
      <c r="A129" s="2" t="s">
        <v>550</v>
      </c>
      <c r="B129" s="2" t="s">
        <v>706</v>
      </c>
      <c r="C129" s="2" t="s">
        <v>712</v>
      </c>
      <c r="D129" s="2" t="s">
        <v>71</v>
      </c>
      <c r="E129" s="2" t="s">
        <v>87</v>
      </c>
      <c r="F129" s="2" t="s">
        <v>242</v>
      </c>
      <c r="G129" s="2">
        <v>1</v>
      </c>
      <c r="H129" s="2">
        <f>VALUE(
 IF(RIGHT(F129,1)="k",
    LEFT(F129,LEN(F129)-1)*1000,
    SUBSTITUTE(SUBSTITUTE(F129,"đ",""),".","")
 )
)</f>
        <v>40776</v>
      </c>
      <c r="I129" s="2">
        <f t="shared" si="3"/>
        <v>40776</v>
      </c>
      <c r="J129" s="4">
        <v>45638</v>
      </c>
      <c r="K129" s="2" t="s">
        <v>243</v>
      </c>
      <c r="L129" s="2" t="str">
        <f t="shared" si="4"/>
        <v>Chieu</v>
      </c>
      <c r="M129" s="2">
        <f t="shared" si="5"/>
        <v>15</v>
      </c>
    </row>
    <row r="130" spans="1:13" ht="15.75" customHeight="1" x14ac:dyDescent="0.25">
      <c r="A130" s="2" t="s">
        <v>551</v>
      </c>
      <c r="B130" s="2" t="s">
        <v>709</v>
      </c>
      <c r="C130" s="2" t="s">
        <v>715</v>
      </c>
      <c r="D130" s="2" t="s">
        <v>9</v>
      </c>
      <c r="E130" s="2" t="s">
        <v>76</v>
      </c>
      <c r="F130" s="2" t="s">
        <v>213</v>
      </c>
      <c r="G130" s="2">
        <v>1</v>
      </c>
      <c r="H130" s="2">
        <f>VALUE(
 IF(RIGHT(F130,1)="k",
    LEFT(F130,LEN(F130)-1)*1000,
    SUBSTITUTE(SUBSTITUTE(F130,"đ",""),".","")
 )
)</f>
        <v>51000</v>
      </c>
      <c r="I130" s="2">
        <f t="shared" ref="I130:I193" si="6">(G130)*(H130)</f>
        <v>51000</v>
      </c>
      <c r="J130" s="4">
        <v>45645</v>
      </c>
      <c r="K130" s="2" t="s">
        <v>27</v>
      </c>
      <c r="L130" s="2" t="str">
        <f t="shared" ref="L130:L193" si="7">IF(M130&lt;11,"Sang",
 IF(M130&lt;14,"Trua",
 IF(M130&lt;17,"Chieu","Toi")))</f>
        <v>Toi</v>
      </c>
      <c r="M130" s="2">
        <f t="shared" ref="M130:M193" si="8">HOUR(K130)</f>
        <v>18</v>
      </c>
    </row>
    <row r="131" spans="1:13" ht="15.75" customHeight="1" x14ac:dyDescent="0.25">
      <c r="A131" s="2" t="s">
        <v>552</v>
      </c>
      <c r="B131" s="2" t="s">
        <v>705</v>
      </c>
      <c r="C131" s="2" t="s">
        <v>716</v>
      </c>
      <c r="D131" s="2" t="s">
        <v>79</v>
      </c>
      <c r="E131" s="2" t="s">
        <v>29</v>
      </c>
      <c r="F131" s="2" t="s">
        <v>244</v>
      </c>
      <c r="G131" s="2">
        <v>2</v>
      </c>
      <c r="H131" s="2">
        <f>VALUE(
 IF(RIGHT(F131,1)="k",
    LEFT(F131,LEN(F131)-1)*1000,
    SUBSTITUTE(SUBSTITUTE(F131,"đ",""),".","")
 )
)</f>
        <v>54690</v>
      </c>
      <c r="I131" s="2">
        <f t="shared" si="6"/>
        <v>109380</v>
      </c>
      <c r="J131" s="4">
        <v>45627</v>
      </c>
      <c r="K131" s="2" t="s">
        <v>245</v>
      </c>
      <c r="L131" s="2" t="str">
        <f t="shared" si="7"/>
        <v>Trua</v>
      </c>
      <c r="M131" s="2">
        <f t="shared" si="8"/>
        <v>12</v>
      </c>
    </row>
    <row r="132" spans="1:13" ht="15.75" customHeight="1" x14ac:dyDescent="0.25">
      <c r="A132" s="2" t="s">
        <v>553</v>
      </c>
      <c r="B132" s="2" t="s">
        <v>709</v>
      </c>
      <c r="C132" s="2" t="s">
        <v>721</v>
      </c>
      <c r="D132" s="2" t="s">
        <v>37</v>
      </c>
      <c r="E132" s="2" t="s">
        <v>29</v>
      </c>
      <c r="F132" s="2" t="s">
        <v>38</v>
      </c>
      <c r="G132" s="2">
        <v>1</v>
      </c>
      <c r="H132" s="2">
        <f>VALUE(
 IF(RIGHT(F132,1)="k",
    LEFT(F132,LEN(F132)-1)*1000,
    SUBSTITUTE(SUBSTITUTE(F132,"đ",""),".","")
 )
)</f>
        <v>39000</v>
      </c>
      <c r="I132" s="2">
        <f t="shared" si="6"/>
        <v>39000</v>
      </c>
      <c r="J132" s="4">
        <v>45577</v>
      </c>
      <c r="K132" s="2" t="s">
        <v>246</v>
      </c>
      <c r="L132" s="2" t="str">
        <f t="shared" si="7"/>
        <v>Trua</v>
      </c>
      <c r="M132" s="2">
        <f t="shared" si="8"/>
        <v>12</v>
      </c>
    </row>
    <row r="133" spans="1:13" ht="15.75" customHeight="1" x14ac:dyDescent="0.25">
      <c r="A133" s="2" t="s">
        <v>554</v>
      </c>
      <c r="B133" s="2" t="s">
        <v>709</v>
      </c>
      <c r="C133" s="2" t="s">
        <v>721</v>
      </c>
      <c r="D133" s="2" t="s">
        <v>124</v>
      </c>
      <c r="E133" s="2" t="s">
        <v>22</v>
      </c>
      <c r="F133" s="2" t="s">
        <v>30</v>
      </c>
      <c r="G133" s="2">
        <v>1</v>
      </c>
      <c r="H133" s="2">
        <f>VALUE(
 IF(RIGHT(F133,1)="k",
    LEFT(F133,LEN(F133)-1)*1000,
    SUBSTITUTE(SUBSTITUTE(F133,"đ",""),".","")
 )
)</f>
        <v>35000</v>
      </c>
      <c r="I133" s="2">
        <f t="shared" si="6"/>
        <v>35000</v>
      </c>
      <c r="J133" s="4">
        <v>45651</v>
      </c>
      <c r="K133" s="2" t="s">
        <v>247</v>
      </c>
      <c r="L133" s="2" t="str">
        <f t="shared" si="7"/>
        <v>Toi</v>
      </c>
      <c r="M133" s="2">
        <f t="shared" si="8"/>
        <v>19</v>
      </c>
    </row>
    <row r="134" spans="1:13" ht="15.75" customHeight="1" x14ac:dyDescent="0.25">
      <c r="A134" s="2" t="s">
        <v>555</v>
      </c>
      <c r="B134" s="2" t="s">
        <v>706</v>
      </c>
      <c r="C134" s="2" t="s">
        <v>716</v>
      </c>
      <c r="D134" s="2" t="s">
        <v>25</v>
      </c>
      <c r="E134" s="2" t="s">
        <v>18</v>
      </c>
      <c r="F134" s="2" t="s">
        <v>248</v>
      </c>
      <c r="G134" s="2">
        <v>1</v>
      </c>
      <c r="H134" s="2">
        <f>VALUE(
 IF(RIGHT(F134,1)="k",
    LEFT(F134,LEN(F134)-1)*1000,
    SUBSTITUTE(SUBSTITUTE(F134,"đ",""),".","")
 )
)</f>
        <v>39000</v>
      </c>
      <c r="I134" s="2">
        <f t="shared" si="6"/>
        <v>39000</v>
      </c>
      <c r="J134" s="4">
        <v>45645</v>
      </c>
      <c r="K134" s="2" t="s">
        <v>249</v>
      </c>
      <c r="L134" s="2" t="str">
        <f t="shared" si="7"/>
        <v>Chieu</v>
      </c>
      <c r="M134" s="2">
        <f t="shared" si="8"/>
        <v>16</v>
      </c>
    </row>
    <row r="135" spans="1:13" ht="15.75" customHeight="1" x14ac:dyDescent="0.25">
      <c r="A135" s="2" t="s">
        <v>556</v>
      </c>
      <c r="B135" s="2" t="s">
        <v>705</v>
      </c>
      <c r="C135" s="2" t="s">
        <v>716</v>
      </c>
      <c r="D135" s="2" t="s">
        <v>79</v>
      </c>
      <c r="E135" s="2" t="s">
        <v>29</v>
      </c>
      <c r="F135" s="2" t="s">
        <v>250</v>
      </c>
      <c r="G135" s="2">
        <v>2</v>
      </c>
      <c r="H135" s="2">
        <f>VALUE(
 IF(RIGHT(F135,1)="k",
    LEFT(F135,LEN(F135)-1)*1000,
    SUBSTITUTE(SUBSTITUTE(F135,"đ",""),".","")
 )
)</f>
        <v>57000</v>
      </c>
      <c r="I135" s="2">
        <f t="shared" si="6"/>
        <v>114000</v>
      </c>
      <c r="J135" s="4">
        <v>45642</v>
      </c>
      <c r="K135" s="2" t="s">
        <v>251</v>
      </c>
      <c r="L135" s="2" t="str">
        <f t="shared" si="7"/>
        <v>Trua</v>
      </c>
      <c r="M135" s="2">
        <f t="shared" si="8"/>
        <v>12</v>
      </c>
    </row>
    <row r="136" spans="1:13" ht="15.75" customHeight="1" x14ac:dyDescent="0.25">
      <c r="A136" s="2" t="s">
        <v>557</v>
      </c>
      <c r="B136" s="2" t="s">
        <v>709</v>
      </c>
      <c r="C136" s="2" t="s">
        <v>715</v>
      </c>
      <c r="D136" s="2" t="s">
        <v>6</v>
      </c>
      <c r="E136" s="2" t="s">
        <v>29</v>
      </c>
      <c r="F136" s="2" t="s">
        <v>65</v>
      </c>
      <c r="G136" s="2">
        <v>1</v>
      </c>
      <c r="H136" s="2">
        <f>VALUE(
 IF(RIGHT(F136,1)="k",
    LEFT(F136,LEN(F136)-1)*1000,
    SUBSTITUTE(SUBSTITUTE(F136,"đ",""),".","")
 )
)</f>
        <v>52000</v>
      </c>
      <c r="I136" s="2">
        <f t="shared" si="6"/>
        <v>52000</v>
      </c>
      <c r="J136" s="4">
        <v>45641</v>
      </c>
      <c r="K136" s="2" t="s">
        <v>252</v>
      </c>
      <c r="L136" s="2" t="str">
        <f t="shared" si="7"/>
        <v>Sang</v>
      </c>
      <c r="M136" s="2">
        <f t="shared" si="8"/>
        <v>8</v>
      </c>
    </row>
    <row r="137" spans="1:13" ht="15.75" customHeight="1" x14ac:dyDescent="0.25">
      <c r="A137" s="2" t="s">
        <v>558</v>
      </c>
      <c r="B137" s="2" t="s">
        <v>708</v>
      </c>
      <c r="C137" s="2" t="s">
        <v>712</v>
      </c>
      <c r="D137" s="2" t="s">
        <v>220</v>
      </c>
      <c r="E137" s="2" t="s">
        <v>29</v>
      </c>
      <c r="F137" s="2" t="s">
        <v>250</v>
      </c>
      <c r="G137" s="2">
        <v>3</v>
      </c>
      <c r="H137" s="2">
        <f>VALUE(
 IF(RIGHT(F137,1)="k",
    LEFT(F137,LEN(F137)-1)*1000,
    SUBSTITUTE(SUBSTITUTE(F137,"đ",""),".","")
 )
)</f>
        <v>57000</v>
      </c>
      <c r="I137" s="2">
        <f t="shared" si="6"/>
        <v>171000</v>
      </c>
      <c r="J137" s="4">
        <v>45363</v>
      </c>
      <c r="K137" s="2" t="s">
        <v>253</v>
      </c>
      <c r="L137" s="2" t="str">
        <f t="shared" si="7"/>
        <v>Chieu</v>
      </c>
      <c r="M137" s="2">
        <f t="shared" si="8"/>
        <v>16</v>
      </c>
    </row>
    <row r="138" spans="1:13" ht="15.75" customHeight="1" x14ac:dyDescent="0.25">
      <c r="A138" s="2" t="s">
        <v>559</v>
      </c>
      <c r="B138" s="2" t="s">
        <v>705</v>
      </c>
      <c r="C138" s="2" t="s">
        <v>710</v>
      </c>
      <c r="D138" s="2" t="s">
        <v>50</v>
      </c>
      <c r="E138" s="2" t="s">
        <v>22</v>
      </c>
      <c r="F138" s="2" t="s">
        <v>132</v>
      </c>
      <c r="G138" s="2">
        <v>1</v>
      </c>
      <c r="H138" s="2">
        <f>VALUE(
 IF(RIGHT(F138,1)="k",
    LEFT(F138,LEN(F138)-1)*1000,
    SUBSTITUTE(SUBSTITUTE(F138,"đ",""),".","")
 )
)</f>
        <v>46000</v>
      </c>
      <c r="I138" s="2">
        <f t="shared" si="6"/>
        <v>46000</v>
      </c>
      <c r="J138" s="4">
        <v>45577</v>
      </c>
      <c r="K138" s="2" t="s">
        <v>254</v>
      </c>
      <c r="L138" s="2" t="str">
        <f t="shared" si="7"/>
        <v>Sang</v>
      </c>
      <c r="M138" s="2">
        <f t="shared" si="8"/>
        <v>8</v>
      </c>
    </row>
    <row r="139" spans="1:13" ht="15.75" customHeight="1" x14ac:dyDescent="0.25">
      <c r="A139" s="2" t="s">
        <v>560</v>
      </c>
      <c r="B139" s="2" t="s">
        <v>708</v>
      </c>
      <c r="C139" s="2" t="s">
        <v>714</v>
      </c>
      <c r="D139" s="2" t="s">
        <v>25</v>
      </c>
      <c r="E139" s="2" t="s">
        <v>18</v>
      </c>
      <c r="F139" s="2" t="s">
        <v>255</v>
      </c>
      <c r="G139" s="2">
        <v>1</v>
      </c>
      <c r="H139" s="2">
        <f>VALUE(
 IF(RIGHT(F139,1)="k",
    LEFT(F139,LEN(F139)-1)*1000,
    SUBSTITUTE(SUBSTITUTE(F139,"đ",""),".","")
 )
)</f>
        <v>38000</v>
      </c>
      <c r="I139" s="2">
        <f t="shared" si="6"/>
        <v>38000</v>
      </c>
      <c r="J139" s="4">
        <v>45640</v>
      </c>
      <c r="K139" s="2" t="s">
        <v>256</v>
      </c>
      <c r="L139" s="2" t="str">
        <f t="shared" si="7"/>
        <v>Toi</v>
      </c>
      <c r="M139" s="2">
        <f t="shared" si="8"/>
        <v>17</v>
      </c>
    </row>
    <row r="140" spans="1:13" ht="15.75" customHeight="1" x14ac:dyDescent="0.25">
      <c r="A140" s="2" t="s">
        <v>561</v>
      </c>
      <c r="B140" s="2" t="s">
        <v>705</v>
      </c>
      <c r="C140" s="2" t="s">
        <v>720</v>
      </c>
      <c r="D140" s="2" t="s">
        <v>21</v>
      </c>
      <c r="E140" s="2" t="s">
        <v>22</v>
      </c>
      <c r="F140" s="2" t="s">
        <v>83</v>
      </c>
      <c r="G140" s="2">
        <v>2</v>
      </c>
      <c r="H140" s="2">
        <f>VALUE(
 IF(RIGHT(F140,1)="k",
    LEFT(F140,LEN(F140)-1)*1000,
    SUBSTITUTE(SUBSTITUTE(F140,"đ",""),".","")
 )
)</f>
        <v>41000</v>
      </c>
      <c r="I140" s="2">
        <f t="shared" si="6"/>
        <v>82000</v>
      </c>
      <c r="J140" s="4">
        <v>45631</v>
      </c>
      <c r="K140" s="2" t="s">
        <v>257</v>
      </c>
      <c r="L140" s="2" t="str">
        <f t="shared" si="7"/>
        <v>Sang</v>
      </c>
      <c r="M140" s="2">
        <f t="shared" si="8"/>
        <v>7</v>
      </c>
    </row>
    <row r="141" spans="1:13" ht="15.75" customHeight="1" x14ac:dyDescent="0.25">
      <c r="A141" s="2" t="s">
        <v>562</v>
      </c>
      <c r="B141" s="2" t="s">
        <v>705</v>
      </c>
      <c r="C141" s="2" t="s">
        <v>723</v>
      </c>
      <c r="D141" s="2" t="s">
        <v>6</v>
      </c>
      <c r="E141" s="2" t="s">
        <v>29</v>
      </c>
      <c r="F141" s="2" t="s">
        <v>258</v>
      </c>
      <c r="G141" s="2">
        <v>1</v>
      </c>
      <c r="H141" s="2">
        <f>VALUE(
 IF(RIGHT(F141,1)="k",
    LEFT(F141,LEN(F141)-1)*1000,
    SUBSTITUTE(SUBSTITUTE(F141,"đ",""),".","")
 )
)</f>
        <v>55000</v>
      </c>
      <c r="I141" s="2">
        <f t="shared" si="6"/>
        <v>55000</v>
      </c>
      <c r="J141" s="4">
        <v>45639</v>
      </c>
      <c r="K141" s="2" t="s">
        <v>259</v>
      </c>
      <c r="L141" s="2" t="str">
        <f t="shared" si="7"/>
        <v>Chieu</v>
      </c>
      <c r="M141" s="2">
        <f t="shared" si="8"/>
        <v>16</v>
      </c>
    </row>
    <row r="142" spans="1:13" ht="15.75" customHeight="1" x14ac:dyDescent="0.25">
      <c r="A142" s="2" t="s">
        <v>563</v>
      </c>
      <c r="B142" s="2" t="s">
        <v>707</v>
      </c>
      <c r="C142" s="2" t="s">
        <v>710</v>
      </c>
      <c r="D142" s="2" t="s">
        <v>6</v>
      </c>
      <c r="E142" s="2" t="s">
        <v>29</v>
      </c>
      <c r="F142" s="2" t="s">
        <v>167</v>
      </c>
      <c r="G142" s="2">
        <v>3</v>
      </c>
      <c r="H142" s="2">
        <f>VALUE(
 IF(RIGHT(F142,1)="k",
    LEFT(F142,LEN(F142)-1)*1000,
    SUBSTITUTE(SUBSTITUTE(F142,"đ",""),".","")
 )
)</f>
        <v>56000</v>
      </c>
      <c r="I142" s="2">
        <f t="shared" si="6"/>
        <v>168000</v>
      </c>
      <c r="J142" s="4">
        <v>45394</v>
      </c>
      <c r="K142" s="2" t="s">
        <v>260</v>
      </c>
      <c r="L142" s="2" t="str">
        <f t="shared" si="7"/>
        <v>Sang</v>
      </c>
      <c r="M142" s="2">
        <f t="shared" si="8"/>
        <v>8</v>
      </c>
    </row>
    <row r="143" spans="1:13" ht="15.75" customHeight="1" x14ac:dyDescent="0.25">
      <c r="A143" s="2" t="s">
        <v>564</v>
      </c>
      <c r="B143" s="2" t="s">
        <v>707</v>
      </c>
      <c r="C143" s="2" t="s">
        <v>720</v>
      </c>
      <c r="D143" s="2" t="s">
        <v>69</v>
      </c>
      <c r="E143" s="2" t="s">
        <v>22</v>
      </c>
      <c r="F143" s="2" t="s">
        <v>128</v>
      </c>
      <c r="G143" s="2">
        <v>2</v>
      </c>
      <c r="H143" s="2">
        <f>VALUE(
 IF(RIGHT(F143,1)="k",
    LEFT(F143,LEN(F143)-1)*1000,
    SUBSTITUTE(SUBSTITUTE(F143,"đ",""),".","")
 )
)</f>
        <v>40000</v>
      </c>
      <c r="I143" s="2">
        <f t="shared" si="6"/>
        <v>80000</v>
      </c>
      <c r="J143" s="4">
        <v>45649</v>
      </c>
      <c r="K143" s="2" t="s">
        <v>261</v>
      </c>
      <c r="L143" s="2" t="str">
        <f t="shared" si="7"/>
        <v>Chieu</v>
      </c>
      <c r="M143" s="2">
        <f t="shared" si="8"/>
        <v>16</v>
      </c>
    </row>
    <row r="144" spans="1:13" ht="15.75" customHeight="1" x14ac:dyDescent="0.25">
      <c r="A144" s="2" t="s">
        <v>565</v>
      </c>
      <c r="B144" s="2" t="s">
        <v>705</v>
      </c>
      <c r="C144" s="2" t="s">
        <v>723</v>
      </c>
      <c r="D144" s="2" t="s">
        <v>71</v>
      </c>
      <c r="E144" s="2" t="s">
        <v>14</v>
      </c>
      <c r="F144" s="2" t="s">
        <v>88</v>
      </c>
      <c r="G144" s="2">
        <v>1</v>
      </c>
      <c r="H144" s="2">
        <f>VALUE(
 IF(RIGHT(F144,1)="k",
    LEFT(F144,LEN(F144)-1)*1000,
    SUBSTITUTE(SUBSTITUTE(F144,"đ",""),".","")
 )
)</f>
        <v>40000</v>
      </c>
      <c r="I144" s="2">
        <f t="shared" si="6"/>
        <v>40000</v>
      </c>
      <c r="J144" s="4">
        <v>45643</v>
      </c>
      <c r="K144" s="2" t="s">
        <v>262</v>
      </c>
      <c r="L144" s="2" t="str">
        <f t="shared" si="7"/>
        <v>Sang</v>
      </c>
      <c r="M144" s="2">
        <f t="shared" si="8"/>
        <v>9</v>
      </c>
    </row>
    <row r="145" spans="1:13" ht="15.75" customHeight="1" x14ac:dyDescent="0.25">
      <c r="A145" s="2" t="s">
        <v>566</v>
      </c>
      <c r="B145" s="2" t="s">
        <v>708</v>
      </c>
      <c r="C145" s="2" t="s">
        <v>710</v>
      </c>
      <c r="D145" s="2" t="s">
        <v>50</v>
      </c>
      <c r="E145" s="2" t="s">
        <v>22</v>
      </c>
      <c r="F145" s="2" t="s">
        <v>263</v>
      </c>
      <c r="G145" s="2">
        <v>1</v>
      </c>
      <c r="H145" s="2">
        <f>VALUE(
 IF(RIGHT(F145,1)="k",
    LEFT(F145,LEN(F145)-1)*1000,
    SUBSTITUTE(SUBSTITUTE(F145,"đ",""),".","")
 )
)</f>
        <v>45118</v>
      </c>
      <c r="I145" s="2">
        <f t="shared" si="6"/>
        <v>45118</v>
      </c>
      <c r="J145" s="4">
        <v>45650</v>
      </c>
      <c r="K145" s="2" t="s">
        <v>246</v>
      </c>
      <c r="L145" s="2" t="str">
        <f t="shared" si="7"/>
        <v>Trua</v>
      </c>
      <c r="M145" s="2">
        <f t="shared" si="8"/>
        <v>12</v>
      </c>
    </row>
    <row r="146" spans="1:13" ht="15.75" customHeight="1" x14ac:dyDescent="0.25">
      <c r="A146" s="2" t="s">
        <v>567</v>
      </c>
      <c r="B146" s="2" t="s">
        <v>709</v>
      </c>
      <c r="C146" s="2" t="s">
        <v>713</v>
      </c>
      <c r="D146" s="2" t="s">
        <v>79</v>
      </c>
      <c r="E146" s="2" t="s">
        <v>29</v>
      </c>
      <c r="F146" s="2" t="s">
        <v>264</v>
      </c>
      <c r="G146" s="2">
        <v>3</v>
      </c>
      <c r="H146" s="2">
        <f>VALUE(
 IF(RIGHT(F146,1)="k",
    LEFT(F146,LEN(F146)-1)*1000,
    SUBSTITUTE(SUBSTITUTE(F146,"đ",""),".","")
 )
)</f>
        <v>53000</v>
      </c>
      <c r="I146" s="2">
        <f t="shared" si="6"/>
        <v>159000</v>
      </c>
      <c r="J146" s="4">
        <v>45547</v>
      </c>
      <c r="K146" s="2" t="s">
        <v>265</v>
      </c>
      <c r="L146" s="2" t="str">
        <f t="shared" si="7"/>
        <v>Sang</v>
      </c>
      <c r="M146" s="2">
        <f t="shared" si="8"/>
        <v>8</v>
      </c>
    </row>
    <row r="147" spans="1:13" ht="15.75" customHeight="1" x14ac:dyDescent="0.25">
      <c r="A147" s="2" t="s">
        <v>568</v>
      </c>
      <c r="B147" s="2" t="s">
        <v>706</v>
      </c>
      <c r="C147" s="2" t="s">
        <v>723</v>
      </c>
      <c r="D147" s="2" t="s">
        <v>50</v>
      </c>
      <c r="E147" s="2" t="s">
        <v>22</v>
      </c>
      <c r="F147" s="2" t="s">
        <v>266</v>
      </c>
      <c r="G147" s="2">
        <v>1</v>
      </c>
      <c r="H147" s="2">
        <f>VALUE(
 IF(RIGHT(F147,1)="k",
    LEFT(F147,LEN(F147)-1)*1000,
    SUBSTITUTE(SUBSTITUTE(F147,"đ",""),".","")
 )
)</f>
        <v>46000</v>
      </c>
      <c r="I147" s="2">
        <f t="shared" si="6"/>
        <v>46000</v>
      </c>
      <c r="J147" s="4">
        <v>45653</v>
      </c>
      <c r="K147" s="2" t="s">
        <v>267</v>
      </c>
      <c r="L147" s="2" t="str">
        <f t="shared" si="7"/>
        <v>Chieu</v>
      </c>
      <c r="M147" s="2">
        <f t="shared" si="8"/>
        <v>14</v>
      </c>
    </row>
    <row r="148" spans="1:13" ht="15.75" customHeight="1" x14ac:dyDescent="0.25">
      <c r="A148" s="2" t="s">
        <v>569</v>
      </c>
      <c r="B148" s="2" t="s">
        <v>708</v>
      </c>
      <c r="C148" s="2" t="s">
        <v>710</v>
      </c>
      <c r="D148" s="2" t="s">
        <v>6</v>
      </c>
      <c r="E148" s="2" t="s">
        <v>29</v>
      </c>
      <c r="F148" s="2" t="s">
        <v>67</v>
      </c>
      <c r="G148" s="2">
        <v>1</v>
      </c>
      <c r="H148" s="2">
        <f>VALUE(
 IF(RIGHT(F148,1)="k",
    LEFT(F148,LEN(F148)-1)*1000,
    SUBSTITUTE(SUBSTITUTE(F148,"đ",""),".","")
 )
)</f>
        <v>54000</v>
      </c>
      <c r="I148" s="2">
        <f t="shared" si="6"/>
        <v>54000</v>
      </c>
      <c r="J148" s="4">
        <v>45639</v>
      </c>
      <c r="K148" s="2" t="s">
        <v>268</v>
      </c>
      <c r="L148" s="2" t="str">
        <f t="shared" si="7"/>
        <v>Toi</v>
      </c>
      <c r="M148" s="2">
        <f t="shared" si="8"/>
        <v>18</v>
      </c>
    </row>
    <row r="149" spans="1:13" ht="15.75" customHeight="1" x14ac:dyDescent="0.25">
      <c r="A149" s="2" t="s">
        <v>540</v>
      </c>
      <c r="B149" s="2" t="s">
        <v>708</v>
      </c>
      <c r="C149" s="2" t="s">
        <v>718</v>
      </c>
      <c r="D149" s="2" t="s">
        <v>79</v>
      </c>
      <c r="E149" s="2" t="s">
        <v>29</v>
      </c>
      <c r="F149" s="2" t="s">
        <v>67</v>
      </c>
      <c r="G149" s="2">
        <v>1</v>
      </c>
      <c r="H149" s="2">
        <f>VALUE(
 IF(RIGHT(F149,1)="k",
    LEFT(F149,LEN(F149)-1)*1000,
    SUBSTITUTE(SUBSTITUTE(F149,"đ",""),".","")
 )
)</f>
        <v>54000</v>
      </c>
      <c r="I149" s="2">
        <f t="shared" si="6"/>
        <v>54000</v>
      </c>
      <c r="J149" s="4">
        <v>45639</v>
      </c>
      <c r="K149" s="2" t="s">
        <v>232</v>
      </c>
      <c r="L149" s="2" t="str">
        <f t="shared" si="7"/>
        <v>Toi</v>
      </c>
      <c r="M149" s="2">
        <f t="shared" si="8"/>
        <v>19</v>
      </c>
    </row>
    <row r="150" spans="1:13" ht="15.75" customHeight="1" x14ac:dyDescent="0.25">
      <c r="A150" s="2" t="s">
        <v>570</v>
      </c>
      <c r="B150" s="2" t="s">
        <v>705</v>
      </c>
      <c r="C150" s="2" t="s">
        <v>713</v>
      </c>
      <c r="D150" s="2" t="s">
        <v>71</v>
      </c>
      <c r="E150" s="2" t="s">
        <v>34</v>
      </c>
      <c r="F150" s="2" t="s">
        <v>138</v>
      </c>
      <c r="G150" s="2">
        <v>4</v>
      </c>
      <c r="H150" s="2">
        <f>VALUE(
 IF(RIGHT(F150,1)="k",
    LEFT(F150,LEN(F150)-1)*1000,
    SUBSTITUTE(SUBSTITUTE(F150,"đ",""),".","")
 )
)</f>
        <v>38000</v>
      </c>
      <c r="I150" s="2">
        <f t="shared" si="6"/>
        <v>152000</v>
      </c>
      <c r="J150" s="4">
        <v>45634</v>
      </c>
      <c r="K150" s="2" t="s">
        <v>209</v>
      </c>
      <c r="L150" s="2" t="str">
        <f t="shared" si="7"/>
        <v>Sang</v>
      </c>
      <c r="M150" s="2">
        <f t="shared" si="8"/>
        <v>9</v>
      </c>
    </row>
    <row r="151" spans="1:13" ht="15.75" customHeight="1" x14ac:dyDescent="0.25">
      <c r="A151" s="2" t="s">
        <v>571</v>
      </c>
      <c r="B151" s="2" t="s">
        <v>709</v>
      </c>
      <c r="C151" s="2" t="s">
        <v>724</v>
      </c>
      <c r="D151" s="2" t="s">
        <v>71</v>
      </c>
      <c r="E151" s="2" t="s">
        <v>34</v>
      </c>
      <c r="F151" s="2" t="s">
        <v>138</v>
      </c>
      <c r="G151" s="2">
        <v>2</v>
      </c>
      <c r="H151" s="2">
        <f>VALUE(
 IF(RIGHT(F151,1)="k",
    LEFT(F151,LEN(F151)-1)*1000,
    SUBSTITUTE(SUBSTITUTE(F151,"đ",""),".","")
 )
)</f>
        <v>38000</v>
      </c>
      <c r="I151" s="2">
        <f t="shared" si="6"/>
        <v>76000</v>
      </c>
      <c r="J151" s="4">
        <v>45516</v>
      </c>
      <c r="K151" s="2" t="s">
        <v>47</v>
      </c>
      <c r="L151" s="2" t="str">
        <f t="shared" si="7"/>
        <v>Sang</v>
      </c>
      <c r="M151" s="2">
        <f t="shared" si="8"/>
        <v>7</v>
      </c>
    </row>
    <row r="152" spans="1:13" ht="15.75" customHeight="1" x14ac:dyDescent="0.25">
      <c r="A152" s="2" t="s">
        <v>572</v>
      </c>
      <c r="B152" s="2" t="s">
        <v>709</v>
      </c>
      <c r="C152" s="2" t="s">
        <v>715</v>
      </c>
      <c r="D152" s="2" t="s">
        <v>79</v>
      </c>
      <c r="E152" s="2" t="s">
        <v>29</v>
      </c>
      <c r="F152" s="2" t="s">
        <v>110</v>
      </c>
      <c r="G152" s="2">
        <v>2</v>
      </c>
      <c r="H152" s="2">
        <f>VALUE(
 IF(RIGHT(F152,1)="k",
    LEFT(F152,LEN(F152)-1)*1000,
    SUBSTITUTE(SUBSTITUTE(F152,"đ",""),".","")
 )
)</f>
        <v>54000</v>
      </c>
      <c r="I152" s="2">
        <f t="shared" si="6"/>
        <v>108000</v>
      </c>
      <c r="J152" s="4">
        <v>45641</v>
      </c>
      <c r="K152" s="2" t="s">
        <v>269</v>
      </c>
      <c r="L152" s="2" t="str">
        <f t="shared" si="7"/>
        <v>Trua</v>
      </c>
      <c r="M152" s="2">
        <f t="shared" si="8"/>
        <v>11</v>
      </c>
    </row>
    <row r="153" spans="1:13" ht="15.75" customHeight="1" x14ac:dyDescent="0.25">
      <c r="A153" s="2" t="s">
        <v>573</v>
      </c>
      <c r="B153" s="2" t="s">
        <v>708</v>
      </c>
      <c r="C153" s="2" t="s">
        <v>719</v>
      </c>
      <c r="D153" s="2" t="s">
        <v>220</v>
      </c>
      <c r="E153" s="2" t="s">
        <v>29</v>
      </c>
      <c r="F153" s="2" t="s">
        <v>270</v>
      </c>
      <c r="G153" s="2">
        <v>2</v>
      </c>
      <c r="H153" s="2">
        <f>VALUE(
 IF(RIGHT(F153,1)="k",
    LEFT(F153,LEN(F153)-1)*1000,
    SUBSTITUTE(SUBSTITUTE(F153,"đ",""),".","")
 )
)</f>
        <v>57490</v>
      </c>
      <c r="I153" s="2">
        <f t="shared" si="6"/>
        <v>114980</v>
      </c>
      <c r="J153" s="4">
        <v>45629</v>
      </c>
      <c r="K153" s="2" t="s">
        <v>271</v>
      </c>
      <c r="L153" s="2" t="str">
        <f t="shared" si="7"/>
        <v>Trua</v>
      </c>
      <c r="M153" s="2">
        <f t="shared" si="8"/>
        <v>13</v>
      </c>
    </row>
    <row r="154" spans="1:13" ht="15.75" customHeight="1" x14ac:dyDescent="0.25">
      <c r="A154" s="2" t="s">
        <v>574</v>
      </c>
      <c r="B154" s="2" t="s">
        <v>708</v>
      </c>
      <c r="C154" s="2" t="s">
        <v>710</v>
      </c>
      <c r="D154" s="2" t="s">
        <v>17</v>
      </c>
      <c r="E154" s="2" t="s">
        <v>18</v>
      </c>
      <c r="F154" s="2" t="s">
        <v>23</v>
      </c>
      <c r="G154" s="2">
        <v>4</v>
      </c>
      <c r="H154" s="2">
        <f>VALUE(
 IF(RIGHT(F154,1)="k",
    LEFT(F154,LEN(F154)-1)*1000,
    SUBSTITUTE(SUBSTITUTE(F154,"đ",""),".","")
 )
)</f>
        <v>41000</v>
      </c>
      <c r="I154" s="2">
        <f t="shared" si="6"/>
        <v>164000</v>
      </c>
      <c r="J154" s="4">
        <v>45638</v>
      </c>
      <c r="K154" s="2" t="s">
        <v>272</v>
      </c>
      <c r="L154" s="2" t="str">
        <f t="shared" si="7"/>
        <v>Sang</v>
      </c>
      <c r="M154" s="2">
        <f t="shared" si="8"/>
        <v>7</v>
      </c>
    </row>
    <row r="155" spans="1:13" ht="15.75" customHeight="1" x14ac:dyDescent="0.25">
      <c r="A155" s="2" t="s">
        <v>575</v>
      </c>
      <c r="B155" s="2" t="s">
        <v>707</v>
      </c>
      <c r="C155" s="2" t="s">
        <v>723</v>
      </c>
      <c r="D155" s="2" t="s">
        <v>50</v>
      </c>
      <c r="E155" s="2" t="s">
        <v>22</v>
      </c>
      <c r="F155" s="2" t="s">
        <v>161</v>
      </c>
      <c r="G155" s="2">
        <v>3</v>
      </c>
      <c r="H155" s="2">
        <f>VALUE(
 IF(RIGHT(F155,1)="k",
    LEFT(F155,LEN(F155)-1)*1000,
    SUBSTITUTE(SUBSTITUTE(F155,"đ",""),".","")
 )
)</f>
        <v>44000</v>
      </c>
      <c r="I155" s="2">
        <f t="shared" si="6"/>
        <v>132000</v>
      </c>
      <c r="J155" s="4">
        <v>45645</v>
      </c>
      <c r="K155" s="2" t="s">
        <v>273</v>
      </c>
      <c r="L155" s="2" t="str">
        <f t="shared" si="7"/>
        <v>Trua</v>
      </c>
      <c r="M155" s="2">
        <f t="shared" si="8"/>
        <v>11</v>
      </c>
    </row>
    <row r="156" spans="1:13" ht="15.75" customHeight="1" x14ac:dyDescent="0.25">
      <c r="A156" s="2" t="s">
        <v>448</v>
      </c>
      <c r="B156" s="2" t="s">
        <v>706</v>
      </c>
      <c r="C156" s="2" t="s">
        <v>711</v>
      </c>
      <c r="D156" s="2" t="s">
        <v>37</v>
      </c>
      <c r="E156" s="2" t="s">
        <v>29</v>
      </c>
      <c r="F156" s="2" t="s">
        <v>74</v>
      </c>
      <c r="G156" s="2">
        <v>2</v>
      </c>
      <c r="H156" s="2">
        <f>VALUE(
 IF(RIGHT(F156,1)="k",
    LEFT(F156,LEN(F156)-1)*1000,
    SUBSTITUTE(SUBSTITUTE(F156,"đ",""),".","")
 )
)</f>
        <v>41810</v>
      </c>
      <c r="I156" s="2">
        <f t="shared" si="6"/>
        <v>83620</v>
      </c>
      <c r="J156" s="4">
        <v>45647</v>
      </c>
      <c r="K156" s="2" t="s">
        <v>75</v>
      </c>
      <c r="L156" s="2" t="str">
        <f t="shared" si="7"/>
        <v>Sang</v>
      </c>
      <c r="M156" s="2">
        <f t="shared" si="8"/>
        <v>10</v>
      </c>
    </row>
    <row r="157" spans="1:13" ht="15.75" customHeight="1" x14ac:dyDescent="0.25">
      <c r="A157" s="2" t="s">
        <v>576</v>
      </c>
      <c r="B157" s="2" t="s">
        <v>709</v>
      </c>
      <c r="C157" s="2" t="s">
        <v>716</v>
      </c>
      <c r="D157" s="2" t="s">
        <v>61</v>
      </c>
      <c r="E157" s="2" t="s">
        <v>10</v>
      </c>
      <c r="F157" s="2" t="s">
        <v>43</v>
      </c>
      <c r="G157" s="2">
        <v>1</v>
      </c>
      <c r="H157" s="2">
        <f>VALUE(
 IF(RIGHT(F157,1)="k",
    LEFT(F157,LEN(F157)-1)*1000,
    SUBSTITUTE(SUBSTITUTE(F157,"đ",""),".","")
 )
)</f>
        <v>50000</v>
      </c>
      <c r="I157" s="2">
        <f t="shared" si="6"/>
        <v>50000</v>
      </c>
      <c r="J157" s="4">
        <v>45642</v>
      </c>
      <c r="K157" s="2" t="s">
        <v>274</v>
      </c>
      <c r="L157" s="2" t="str">
        <f t="shared" si="7"/>
        <v>Toi</v>
      </c>
      <c r="M157" s="2">
        <f t="shared" si="8"/>
        <v>18</v>
      </c>
    </row>
    <row r="158" spans="1:13" ht="15.75" customHeight="1" x14ac:dyDescent="0.25">
      <c r="A158" s="2" t="s">
        <v>577</v>
      </c>
      <c r="B158" s="2" t="s">
        <v>707</v>
      </c>
      <c r="C158" s="2" t="s">
        <v>723</v>
      </c>
      <c r="D158" s="2" t="s">
        <v>69</v>
      </c>
      <c r="E158" s="2" t="s">
        <v>22</v>
      </c>
      <c r="F158" s="2" t="s">
        <v>275</v>
      </c>
      <c r="G158" s="2">
        <v>1</v>
      </c>
      <c r="H158" s="2">
        <f>VALUE(
 IF(RIGHT(F158,1)="k",
    LEFT(F158,LEN(F158)-1)*1000,
    SUBSTITUTE(SUBSTITUTE(F158,"đ",""),".","")
 )
)</f>
        <v>40744</v>
      </c>
      <c r="I158" s="2">
        <f t="shared" si="6"/>
        <v>40744</v>
      </c>
      <c r="J158" s="4">
        <v>45643</v>
      </c>
      <c r="K158" s="2" t="s">
        <v>276</v>
      </c>
      <c r="L158" s="2" t="str">
        <f t="shared" si="7"/>
        <v>Sang</v>
      </c>
      <c r="M158" s="2">
        <f t="shared" si="8"/>
        <v>10</v>
      </c>
    </row>
    <row r="159" spans="1:13" ht="15.75" customHeight="1" x14ac:dyDescent="0.25">
      <c r="A159" s="2" t="s">
        <v>578</v>
      </c>
      <c r="B159" s="2" t="s">
        <v>706</v>
      </c>
      <c r="C159" s="2" t="s">
        <v>710</v>
      </c>
      <c r="D159" s="2" t="s">
        <v>21</v>
      </c>
      <c r="E159" s="2" t="s">
        <v>22</v>
      </c>
      <c r="F159" s="2" t="s">
        <v>140</v>
      </c>
      <c r="G159" s="2">
        <v>2</v>
      </c>
      <c r="H159" s="2">
        <f>VALUE(
 IF(RIGHT(F159,1)="k",
    LEFT(F159,LEN(F159)-1)*1000,
    SUBSTITUTE(SUBSTITUTE(F159,"đ",""),".","")
 )
)</f>
        <v>41000</v>
      </c>
      <c r="I159" s="2">
        <f t="shared" si="6"/>
        <v>82000</v>
      </c>
      <c r="J159" s="4">
        <v>45631</v>
      </c>
      <c r="K159" s="2" t="s">
        <v>277</v>
      </c>
      <c r="L159" s="2" t="str">
        <f t="shared" si="7"/>
        <v>Sang</v>
      </c>
      <c r="M159" s="2">
        <f t="shared" si="8"/>
        <v>9</v>
      </c>
    </row>
    <row r="160" spans="1:13" ht="15.75" customHeight="1" x14ac:dyDescent="0.25">
      <c r="A160" s="2" t="s">
        <v>579</v>
      </c>
      <c r="B160" s="2" t="s">
        <v>706</v>
      </c>
      <c r="C160" s="2" t="s">
        <v>713</v>
      </c>
      <c r="D160" s="2" t="s">
        <v>124</v>
      </c>
      <c r="E160" s="2" t="s">
        <v>22</v>
      </c>
      <c r="F160" s="2" t="s">
        <v>278</v>
      </c>
      <c r="G160" s="2">
        <v>3</v>
      </c>
      <c r="H160" s="2">
        <f>VALUE(
 IF(RIGHT(F160,1)="k",
    LEFT(F160,LEN(F160)-1)*1000,
    SUBSTITUTE(SUBSTITUTE(F160,"đ",""),".","")
 )
)</f>
        <v>36000</v>
      </c>
      <c r="I160" s="2">
        <f t="shared" si="6"/>
        <v>108000</v>
      </c>
      <c r="J160" s="4">
        <v>45636</v>
      </c>
      <c r="K160" s="2" t="s">
        <v>279</v>
      </c>
      <c r="L160" s="2" t="str">
        <f t="shared" si="7"/>
        <v>Trua</v>
      </c>
      <c r="M160" s="2">
        <f t="shared" si="8"/>
        <v>11</v>
      </c>
    </row>
    <row r="161" spans="1:13" ht="15.75" customHeight="1" x14ac:dyDescent="0.25">
      <c r="A161" s="2" t="s">
        <v>580</v>
      </c>
      <c r="B161" s="2" t="s">
        <v>708</v>
      </c>
      <c r="C161" s="2" t="s">
        <v>715</v>
      </c>
      <c r="D161" s="2" t="s">
        <v>25</v>
      </c>
      <c r="E161" s="2" t="s">
        <v>112</v>
      </c>
      <c r="F161" s="2" t="s">
        <v>23</v>
      </c>
      <c r="G161" s="2">
        <v>1</v>
      </c>
      <c r="H161" s="2">
        <f>VALUE(
 IF(RIGHT(F161,1)="k",
    LEFT(F161,LEN(F161)-1)*1000,
    SUBSTITUTE(SUBSTITUTE(F161,"đ",""),".","")
 )
)</f>
        <v>41000</v>
      </c>
      <c r="I161" s="2">
        <f t="shared" si="6"/>
        <v>41000</v>
      </c>
      <c r="J161" s="4">
        <v>45547</v>
      </c>
      <c r="K161" s="2" t="s">
        <v>280</v>
      </c>
      <c r="L161" s="2" t="str">
        <f t="shared" si="7"/>
        <v>Sang</v>
      </c>
      <c r="M161" s="2">
        <f t="shared" si="8"/>
        <v>8</v>
      </c>
    </row>
    <row r="162" spans="1:13" ht="15.75" customHeight="1" x14ac:dyDescent="0.25">
      <c r="A162" s="2" t="s">
        <v>581</v>
      </c>
      <c r="B162" s="2" t="s">
        <v>708</v>
      </c>
      <c r="C162" s="2" t="s">
        <v>721</v>
      </c>
      <c r="D162" s="2" t="s">
        <v>6</v>
      </c>
      <c r="E162" s="2" t="s">
        <v>29</v>
      </c>
      <c r="F162" s="2" t="s">
        <v>281</v>
      </c>
      <c r="G162" s="2">
        <v>1</v>
      </c>
      <c r="H162" s="2">
        <f>VALUE(
 IF(RIGHT(F162,1)="k",
    LEFT(F162,LEN(F162)-1)*1000,
    SUBSTITUTE(SUBSTITUTE(F162,"đ",""),".","")
 )
)</f>
        <v>55000</v>
      </c>
      <c r="I162" s="2">
        <f t="shared" si="6"/>
        <v>55000</v>
      </c>
      <c r="J162" s="4">
        <v>45639</v>
      </c>
      <c r="K162" s="2" t="s">
        <v>282</v>
      </c>
      <c r="L162" s="2" t="str">
        <f t="shared" si="7"/>
        <v>Sang</v>
      </c>
      <c r="M162" s="2">
        <f t="shared" si="8"/>
        <v>9</v>
      </c>
    </row>
    <row r="163" spans="1:13" ht="15.75" customHeight="1" x14ac:dyDescent="0.25">
      <c r="A163" s="2" t="s">
        <v>582</v>
      </c>
      <c r="B163" s="2" t="s">
        <v>707</v>
      </c>
      <c r="C163" s="2" t="s">
        <v>716</v>
      </c>
      <c r="D163" s="2" t="s">
        <v>50</v>
      </c>
      <c r="E163" s="2" t="s">
        <v>22</v>
      </c>
      <c r="F163" s="2" t="s">
        <v>186</v>
      </c>
      <c r="G163" s="2">
        <v>1</v>
      </c>
      <c r="H163" s="2">
        <f>VALUE(
 IF(RIGHT(F163,1)="k",
    LEFT(F163,LEN(F163)-1)*1000,
    SUBSTITUTE(SUBSTITUTE(F163,"đ",""),".","")
 )
)</f>
        <v>43000</v>
      </c>
      <c r="I163" s="2">
        <f t="shared" si="6"/>
        <v>43000</v>
      </c>
      <c r="J163" s="4">
        <v>45647</v>
      </c>
      <c r="K163" s="2" t="s">
        <v>283</v>
      </c>
      <c r="L163" s="2" t="str">
        <f t="shared" si="7"/>
        <v>Toi</v>
      </c>
      <c r="M163" s="2">
        <f t="shared" si="8"/>
        <v>17</v>
      </c>
    </row>
    <row r="164" spans="1:13" ht="15.75" customHeight="1" x14ac:dyDescent="0.25">
      <c r="A164" s="2" t="s">
        <v>583</v>
      </c>
      <c r="B164" s="2" t="s">
        <v>708</v>
      </c>
      <c r="C164" s="2" t="s">
        <v>722</v>
      </c>
      <c r="D164" s="2" t="s">
        <v>9</v>
      </c>
      <c r="E164" s="2" t="s">
        <v>10</v>
      </c>
      <c r="F164" s="2" t="s">
        <v>147</v>
      </c>
      <c r="G164" s="2">
        <v>1</v>
      </c>
      <c r="H164" s="2">
        <f>VALUE(
 IF(RIGHT(F164,1)="k",
    LEFT(F164,LEN(F164)-1)*1000,
    SUBSTITUTE(SUBSTITUTE(F164,"đ",""),".","")
 )
)</f>
        <v>49000</v>
      </c>
      <c r="I164" s="2">
        <f t="shared" si="6"/>
        <v>49000</v>
      </c>
      <c r="J164" s="4">
        <v>45651</v>
      </c>
      <c r="K164" s="2" t="s">
        <v>284</v>
      </c>
      <c r="L164" s="2" t="str">
        <f t="shared" si="7"/>
        <v>Trua</v>
      </c>
      <c r="M164" s="2">
        <f t="shared" si="8"/>
        <v>12</v>
      </c>
    </row>
    <row r="165" spans="1:13" ht="15.75" customHeight="1" x14ac:dyDescent="0.25">
      <c r="A165" s="2" t="s">
        <v>584</v>
      </c>
      <c r="B165" s="2" t="s">
        <v>706</v>
      </c>
      <c r="C165" s="2" t="s">
        <v>720</v>
      </c>
      <c r="D165" s="2" t="s">
        <v>13</v>
      </c>
      <c r="E165" s="2" t="s">
        <v>87</v>
      </c>
      <c r="F165" s="2" t="s">
        <v>192</v>
      </c>
      <c r="G165" s="2">
        <v>1</v>
      </c>
      <c r="H165" s="2">
        <f>VALUE(
 IF(RIGHT(F165,1)="k",
    LEFT(F165,LEN(F165)-1)*1000,
    SUBSTITUTE(SUBSTITUTE(F165,"đ",""),".","")
 )
)</f>
        <v>34000</v>
      </c>
      <c r="I165" s="2">
        <f t="shared" si="6"/>
        <v>34000</v>
      </c>
      <c r="J165" s="4">
        <v>45646</v>
      </c>
      <c r="K165" s="2" t="s">
        <v>285</v>
      </c>
      <c r="L165" s="2" t="str">
        <f t="shared" si="7"/>
        <v>Trua</v>
      </c>
      <c r="M165" s="2">
        <f t="shared" si="8"/>
        <v>13</v>
      </c>
    </row>
    <row r="166" spans="1:13" ht="15.75" customHeight="1" x14ac:dyDescent="0.25">
      <c r="A166" s="2" t="s">
        <v>585</v>
      </c>
      <c r="B166" s="2" t="s">
        <v>708</v>
      </c>
      <c r="C166" s="2" t="s">
        <v>713</v>
      </c>
      <c r="D166" s="2" t="s">
        <v>115</v>
      </c>
      <c r="E166" s="2" t="s">
        <v>29</v>
      </c>
      <c r="F166" s="2" t="s">
        <v>286</v>
      </c>
      <c r="G166" s="2">
        <v>1</v>
      </c>
      <c r="H166" s="2">
        <f>VALUE(
 IF(RIGHT(F166,1)="k",
    LEFT(F166,LEN(F166)-1)*1000,
    SUBSTITUTE(SUBSTITUTE(F166,"đ",""),".","")
 )
)</f>
        <v>48000</v>
      </c>
      <c r="I166" s="2">
        <f t="shared" si="6"/>
        <v>48000</v>
      </c>
      <c r="J166" s="4">
        <v>45649</v>
      </c>
      <c r="K166" s="2" t="s">
        <v>287</v>
      </c>
      <c r="L166" s="2" t="str">
        <f t="shared" si="7"/>
        <v>Toi</v>
      </c>
      <c r="M166" s="2">
        <f t="shared" si="8"/>
        <v>17</v>
      </c>
    </row>
    <row r="167" spans="1:13" ht="15.75" customHeight="1" x14ac:dyDescent="0.25">
      <c r="A167" s="2" t="s">
        <v>586</v>
      </c>
      <c r="B167" s="2" t="s">
        <v>709</v>
      </c>
      <c r="C167" s="2" t="s">
        <v>716</v>
      </c>
      <c r="D167" s="2" t="s">
        <v>53</v>
      </c>
      <c r="E167" s="2" t="s">
        <v>76</v>
      </c>
      <c r="F167" s="2" t="s">
        <v>288</v>
      </c>
      <c r="G167" s="2">
        <v>1</v>
      </c>
      <c r="H167" s="2">
        <f>VALUE(
 IF(RIGHT(F167,1)="k",
    LEFT(F167,LEN(F167)-1)*1000,
    SUBSTITUTE(SUBSTITUTE(F167,"đ",""),".","")
 )
)</f>
        <v>46000</v>
      </c>
      <c r="I167" s="2">
        <f t="shared" si="6"/>
        <v>46000</v>
      </c>
      <c r="J167" s="4">
        <v>45630</v>
      </c>
      <c r="K167" s="2" t="s">
        <v>289</v>
      </c>
      <c r="L167" s="2" t="str">
        <f t="shared" si="7"/>
        <v>Sang</v>
      </c>
      <c r="M167" s="2">
        <f t="shared" si="8"/>
        <v>9</v>
      </c>
    </row>
    <row r="168" spans="1:13" ht="15.75" customHeight="1" x14ac:dyDescent="0.25">
      <c r="A168" s="2" t="s">
        <v>587</v>
      </c>
      <c r="B168" s="2" t="s">
        <v>708</v>
      </c>
      <c r="C168" s="2" t="s">
        <v>719</v>
      </c>
      <c r="D168" s="2" t="s">
        <v>25</v>
      </c>
      <c r="E168" s="2" t="s">
        <v>18</v>
      </c>
      <c r="F168" s="2" t="s">
        <v>38</v>
      </c>
      <c r="G168" s="2">
        <v>2</v>
      </c>
      <c r="H168" s="2">
        <f>VALUE(
 IF(RIGHT(F168,1)="k",
    LEFT(F168,LEN(F168)-1)*1000,
    SUBSTITUTE(SUBSTITUTE(F168,"đ",""),".","")
 )
)</f>
        <v>39000</v>
      </c>
      <c r="I168" s="2">
        <f t="shared" si="6"/>
        <v>78000</v>
      </c>
      <c r="J168" s="4">
        <v>45639</v>
      </c>
      <c r="K168" s="2" t="s">
        <v>290</v>
      </c>
      <c r="L168" s="2" t="str">
        <f t="shared" si="7"/>
        <v>Chieu</v>
      </c>
      <c r="M168" s="2">
        <f t="shared" si="8"/>
        <v>16</v>
      </c>
    </row>
    <row r="169" spans="1:13" ht="15.75" customHeight="1" x14ac:dyDescent="0.25">
      <c r="A169" s="2" t="s">
        <v>588</v>
      </c>
      <c r="B169" s="2" t="s">
        <v>706</v>
      </c>
      <c r="C169" s="2" t="s">
        <v>720</v>
      </c>
      <c r="D169" s="2" t="s">
        <v>124</v>
      </c>
      <c r="E169" s="2" t="s">
        <v>22</v>
      </c>
      <c r="F169" s="2" t="s">
        <v>30</v>
      </c>
      <c r="G169" s="2">
        <v>1</v>
      </c>
      <c r="H169" s="2">
        <f>VALUE(
 IF(RIGHT(F169,1)="k",
    LEFT(F169,LEN(F169)-1)*1000,
    SUBSTITUTE(SUBSTITUTE(F169,"đ",""),".","")
 )
)</f>
        <v>35000</v>
      </c>
      <c r="I169" s="2">
        <f t="shared" si="6"/>
        <v>35000</v>
      </c>
      <c r="J169" s="4">
        <v>45654</v>
      </c>
      <c r="K169" s="2" t="s">
        <v>291</v>
      </c>
      <c r="L169" s="2" t="str">
        <f t="shared" si="7"/>
        <v>Trua</v>
      </c>
      <c r="M169" s="2">
        <f t="shared" si="8"/>
        <v>13</v>
      </c>
    </row>
    <row r="170" spans="1:13" ht="15.75" customHeight="1" x14ac:dyDescent="0.25">
      <c r="A170" s="2" t="s">
        <v>589</v>
      </c>
      <c r="B170" s="2" t="s">
        <v>709</v>
      </c>
      <c r="C170" s="2" t="s">
        <v>721</v>
      </c>
      <c r="D170" s="2" t="s">
        <v>56</v>
      </c>
      <c r="E170" s="2" t="s">
        <v>29</v>
      </c>
      <c r="F170" s="2" t="s">
        <v>15</v>
      </c>
      <c r="G170" s="2">
        <v>1</v>
      </c>
      <c r="H170" s="2">
        <f>VALUE(
 IF(RIGHT(F170,1)="k",
    LEFT(F170,LEN(F170)-1)*1000,
    SUBSTITUTE(SUBSTITUTE(F170,"đ",""),".","")
 )
)</f>
        <v>33000</v>
      </c>
      <c r="I170" s="2">
        <f t="shared" si="6"/>
        <v>33000</v>
      </c>
      <c r="J170" s="4">
        <v>45646</v>
      </c>
      <c r="K170" s="2" t="s">
        <v>195</v>
      </c>
      <c r="L170" s="2" t="str">
        <f t="shared" si="7"/>
        <v>Sang</v>
      </c>
      <c r="M170" s="2">
        <f t="shared" si="8"/>
        <v>9</v>
      </c>
    </row>
    <row r="171" spans="1:13" ht="15.75" customHeight="1" x14ac:dyDescent="0.25">
      <c r="A171" s="2" t="s">
        <v>590</v>
      </c>
      <c r="B171" s="2" t="s">
        <v>705</v>
      </c>
      <c r="C171" s="2" t="s">
        <v>722</v>
      </c>
      <c r="D171" s="2" t="s">
        <v>56</v>
      </c>
      <c r="E171" s="2" t="s">
        <v>29</v>
      </c>
      <c r="F171" s="2" t="s">
        <v>292</v>
      </c>
      <c r="G171" s="2">
        <v>1</v>
      </c>
      <c r="H171" s="2">
        <f>VALUE(
 IF(RIGHT(F171,1)="k",
    LEFT(F171,LEN(F171)-1)*1000,
    SUBSTITUTE(SUBSTITUTE(F171,"đ",""),".","")
 )
)</f>
        <v>34239</v>
      </c>
      <c r="I171" s="2">
        <f t="shared" si="6"/>
        <v>34239</v>
      </c>
      <c r="J171" s="4">
        <v>45647</v>
      </c>
      <c r="K171" s="2" t="s">
        <v>57</v>
      </c>
      <c r="L171" s="2" t="str">
        <f t="shared" si="7"/>
        <v>Chieu</v>
      </c>
      <c r="M171" s="2">
        <f t="shared" si="8"/>
        <v>15</v>
      </c>
    </row>
    <row r="172" spans="1:13" ht="15.75" customHeight="1" x14ac:dyDescent="0.25">
      <c r="A172" s="2" t="s">
        <v>568</v>
      </c>
      <c r="B172" s="2" t="s">
        <v>706</v>
      </c>
      <c r="C172" s="2" t="s">
        <v>723</v>
      </c>
      <c r="D172" s="2" t="s">
        <v>50</v>
      </c>
      <c r="E172" s="2" t="s">
        <v>22</v>
      </c>
      <c r="F172" s="2" t="s">
        <v>266</v>
      </c>
      <c r="G172" s="2">
        <v>1</v>
      </c>
      <c r="H172" s="2">
        <f>VALUE(
 IF(RIGHT(F172,1)="k",
    LEFT(F172,LEN(F172)-1)*1000,
    SUBSTITUTE(SUBSTITUTE(F172,"đ",""),".","")
 )
)</f>
        <v>46000</v>
      </c>
      <c r="I172" s="2">
        <f t="shared" si="6"/>
        <v>46000</v>
      </c>
      <c r="J172" s="4">
        <v>45653</v>
      </c>
      <c r="K172" s="2" t="s">
        <v>267</v>
      </c>
      <c r="L172" s="2" t="str">
        <f t="shared" si="7"/>
        <v>Chieu</v>
      </c>
      <c r="M172" s="2">
        <f t="shared" si="8"/>
        <v>14</v>
      </c>
    </row>
    <row r="173" spans="1:13" ht="15.75" customHeight="1" x14ac:dyDescent="0.25">
      <c r="A173" s="2" t="s">
        <v>591</v>
      </c>
      <c r="B173" s="2" t="s">
        <v>709</v>
      </c>
      <c r="C173" s="2" t="s">
        <v>716</v>
      </c>
      <c r="D173" s="2" t="s">
        <v>13</v>
      </c>
      <c r="E173" s="2" t="s">
        <v>87</v>
      </c>
      <c r="F173" s="2" t="s">
        <v>278</v>
      </c>
      <c r="G173" s="2">
        <v>4</v>
      </c>
      <c r="H173" s="2">
        <f>VALUE(
 IF(RIGHT(F173,1)="k",
    LEFT(F173,LEN(F173)-1)*1000,
    SUBSTITUTE(SUBSTITUTE(F173,"đ",""),".","")
 )
)</f>
        <v>36000</v>
      </c>
      <c r="I173" s="2">
        <f t="shared" si="6"/>
        <v>144000</v>
      </c>
      <c r="J173" s="4">
        <v>45577</v>
      </c>
      <c r="K173" s="2" t="s">
        <v>293</v>
      </c>
      <c r="L173" s="2" t="str">
        <f t="shared" si="7"/>
        <v>Sang</v>
      </c>
      <c r="M173" s="2">
        <f t="shared" si="8"/>
        <v>9</v>
      </c>
    </row>
    <row r="174" spans="1:13" ht="15.75" customHeight="1" x14ac:dyDescent="0.25">
      <c r="A174" s="2" t="s">
        <v>592</v>
      </c>
      <c r="B174" s="2" t="s">
        <v>705</v>
      </c>
      <c r="C174" s="2" t="s">
        <v>720</v>
      </c>
      <c r="D174" s="2" t="s">
        <v>6</v>
      </c>
      <c r="E174" s="2" t="s">
        <v>29</v>
      </c>
      <c r="F174" s="2" t="s">
        <v>110</v>
      </c>
      <c r="G174" s="2">
        <v>1</v>
      </c>
      <c r="H174" s="2">
        <f>VALUE(
 IF(RIGHT(F174,1)="k",
    LEFT(F174,LEN(F174)-1)*1000,
    SUBSTITUTE(SUBSTITUTE(F174,"đ",""),".","")
 )
)</f>
        <v>54000</v>
      </c>
      <c r="I174" s="2">
        <f t="shared" si="6"/>
        <v>54000</v>
      </c>
      <c r="J174" s="4">
        <v>45644</v>
      </c>
      <c r="K174" s="2" t="s">
        <v>111</v>
      </c>
      <c r="L174" s="2" t="str">
        <f t="shared" si="7"/>
        <v>Sang</v>
      </c>
      <c r="M174" s="2">
        <f t="shared" si="8"/>
        <v>9</v>
      </c>
    </row>
    <row r="175" spans="1:13" ht="15.75" customHeight="1" x14ac:dyDescent="0.25">
      <c r="A175" s="2" t="s">
        <v>593</v>
      </c>
      <c r="B175" s="2" t="s">
        <v>708</v>
      </c>
      <c r="C175" s="2" t="s">
        <v>719</v>
      </c>
      <c r="D175" s="2" t="s">
        <v>13</v>
      </c>
      <c r="E175" s="2" t="s">
        <v>14</v>
      </c>
      <c r="F175" s="2" t="s">
        <v>294</v>
      </c>
      <c r="G175" s="2">
        <v>3</v>
      </c>
      <c r="H175" s="2">
        <f>VALUE(
 IF(RIGHT(F175,1)="k",
    LEFT(F175,LEN(F175)-1)*1000,
    SUBSTITUTE(SUBSTITUTE(F175,"đ",""),".","")
 )
)</f>
        <v>34000</v>
      </c>
      <c r="I175" s="2">
        <f t="shared" si="6"/>
        <v>102000</v>
      </c>
      <c r="J175" s="4">
        <v>45652</v>
      </c>
      <c r="K175" s="2" t="s">
        <v>295</v>
      </c>
      <c r="L175" s="2" t="str">
        <f t="shared" si="7"/>
        <v>Trua</v>
      </c>
      <c r="M175" s="2">
        <f t="shared" si="8"/>
        <v>12</v>
      </c>
    </row>
    <row r="176" spans="1:13" ht="15.75" customHeight="1" x14ac:dyDescent="0.25">
      <c r="A176" s="2" t="s">
        <v>594</v>
      </c>
      <c r="B176" s="2" t="s">
        <v>706</v>
      </c>
      <c r="C176" s="2" t="s">
        <v>710</v>
      </c>
      <c r="D176" s="2" t="s">
        <v>37</v>
      </c>
      <c r="E176" s="2" t="s">
        <v>29</v>
      </c>
      <c r="F176" s="2" t="s">
        <v>38</v>
      </c>
      <c r="G176" s="2">
        <v>2</v>
      </c>
      <c r="H176" s="2">
        <f>VALUE(
 IF(RIGHT(F176,1)="k",
    LEFT(F176,LEN(F176)-1)*1000,
    SUBSTITUTE(SUBSTITUTE(F176,"đ",""),".","")
 )
)</f>
        <v>39000</v>
      </c>
      <c r="I176" s="2">
        <f t="shared" si="6"/>
        <v>78000</v>
      </c>
      <c r="J176" s="4">
        <v>45654</v>
      </c>
      <c r="K176" s="2" t="s">
        <v>68</v>
      </c>
      <c r="L176" s="2" t="str">
        <f t="shared" si="7"/>
        <v>Chieu</v>
      </c>
      <c r="M176" s="2">
        <f t="shared" si="8"/>
        <v>14</v>
      </c>
    </row>
    <row r="177" spans="1:13" ht="15.75" customHeight="1" x14ac:dyDescent="0.25">
      <c r="A177" s="2" t="s">
        <v>595</v>
      </c>
      <c r="B177" s="2" t="s">
        <v>709</v>
      </c>
      <c r="C177" s="2" t="s">
        <v>717</v>
      </c>
      <c r="D177" s="2" t="s">
        <v>6</v>
      </c>
      <c r="E177" s="2" t="s">
        <v>29</v>
      </c>
      <c r="F177" s="2" t="s">
        <v>281</v>
      </c>
      <c r="G177" s="2">
        <v>2</v>
      </c>
      <c r="H177" s="2">
        <f>VALUE(
 IF(RIGHT(F177,1)="k",
    LEFT(F177,LEN(F177)-1)*1000,
    SUBSTITUTE(SUBSTITUTE(F177,"đ",""),".","")
 )
)</f>
        <v>55000</v>
      </c>
      <c r="I177" s="2">
        <f t="shared" si="6"/>
        <v>110000</v>
      </c>
      <c r="J177" s="4">
        <v>45631</v>
      </c>
      <c r="K177" s="2" t="s">
        <v>296</v>
      </c>
      <c r="L177" s="2" t="str">
        <f t="shared" si="7"/>
        <v>Toi</v>
      </c>
      <c r="M177" s="2">
        <f t="shared" si="8"/>
        <v>19</v>
      </c>
    </row>
    <row r="178" spans="1:13" ht="15.75" customHeight="1" x14ac:dyDescent="0.25">
      <c r="A178" s="2" t="s">
        <v>596</v>
      </c>
      <c r="B178" s="2" t="s">
        <v>705</v>
      </c>
      <c r="C178" s="2" t="s">
        <v>718</v>
      </c>
      <c r="D178" s="2" t="s">
        <v>64</v>
      </c>
      <c r="E178" s="2" t="s">
        <v>29</v>
      </c>
      <c r="F178" s="2" t="s">
        <v>43</v>
      </c>
      <c r="G178" s="2">
        <v>1</v>
      </c>
      <c r="H178" s="2">
        <f>VALUE(
 IF(RIGHT(F178,1)="k",
    LEFT(F178,LEN(F178)-1)*1000,
    SUBSTITUTE(SUBSTITUTE(F178,"đ",""),".","")
 )
)</f>
        <v>50000</v>
      </c>
      <c r="I178" s="2">
        <f t="shared" si="6"/>
        <v>50000</v>
      </c>
      <c r="J178" s="4">
        <v>45636</v>
      </c>
      <c r="K178" s="2" t="s">
        <v>297</v>
      </c>
      <c r="L178" s="2" t="str">
        <f t="shared" si="7"/>
        <v>Toi</v>
      </c>
      <c r="M178" s="2">
        <f t="shared" si="8"/>
        <v>17</v>
      </c>
    </row>
    <row r="179" spans="1:13" ht="15.75" customHeight="1" x14ac:dyDescent="0.25">
      <c r="A179" s="2" t="s">
        <v>573</v>
      </c>
      <c r="B179" s="2" t="s">
        <v>708</v>
      </c>
      <c r="C179" s="2" t="s">
        <v>719</v>
      </c>
      <c r="D179" s="2" t="s">
        <v>220</v>
      </c>
      <c r="E179" s="2" t="s">
        <v>29</v>
      </c>
      <c r="F179" s="2" t="s">
        <v>270</v>
      </c>
      <c r="G179" s="2">
        <v>2</v>
      </c>
      <c r="H179" s="2">
        <f>VALUE(
 IF(RIGHT(F179,1)="k",
    LEFT(F179,LEN(F179)-1)*1000,
    SUBSTITUTE(SUBSTITUTE(F179,"đ",""),".","")
 )
)</f>
        <v>57490</v>
      </c>
      <c r="I179" s="2">
        <f t="shared" si="6"/>
        <v>114980</v>
      </c>
      <c r="J179" s="4">
        <v>45629</v>
      </c>
      <c r="K179" s="2" t="s">
        <v>271</v>
      </c>
      <c r="L179" s="2" t="str">
        <f t="shared" si="7"/>
        <v>Trua</v>
      </c>
      <c r="M179" s="2">
        <f t="shared" si="8"/>
        <v>13</v>
      </c>
    </row>
    <row r="180" spans="1:13" ht="15.75" customHeight="1" x14ac:dyDescent="0.25">
      <c r="A180" s="2" t="s">
        <v>597</v>
      </c>
      <c r="B180" s="2" t="s">
        <v>706</v>
      </c>
      <c r="C180" s="2" t="s">
        <v>713</v>
      </c>
      <c r="D180" s="2" t="s">
        <v>71</v>
      </c>
      <c r="E180" s="2" t="s">
        <v>34</v>
      </c>
      <c r="F180" s="2" t="s">
        <v>88</v>
      </c>
      <c r="G180" s="2">
        <v>1</v>
      </c>
      <c r="H180" s="2">
        <f>VALUE(
 IF(RIGHT(F180,1)="k",
    LEFT(F180,LEN(F180)-1)*1000,
    SUBSTITUTE(SUBSTITUTE(F180,"đ",""),".","")
 )
)</f>
        <v>40000</v>
      </c>
      <c r="I180" s="2">
        <f t="shared" si="6"/>
        <v>40000</v>
      </c>
      <c r="J180" s="4">
        <v>45640</v>
      </c>
      <c r="K180" s="2" t="s">
        <v>298</v>
      </c>
      <c r="L180" s="2" t="str">
        <f t="shared" si="7"/>
        <v>Toi</v>
      </c>
      <c r="M180" s="2">
        <f t="shared" si="8"/>
        <v>20</v>
      </c>
    </row>
    <row r="181" spans="1:13" ht="15.75" customHeight="1" x14ac:dyDescent="0.25">
      <c r="A181" s="2" t="s">
        <v>598</v>
      </c>
      <c r="B181" s="2" t="s">
        <v>705</v>
      </c>
      <c r="C181" s="2" t="s">
        <v>721</v>
      </c>
      <c r="D181" s="2" t="s">
        <v>13</v>
      </c>
      <c r="E181" s="2" t="s">
        <v>87</v>
      </c>
      <c r="F181" s="2" t="s">
        <v>299</v>
      </c>
      <c r="G181" s="2">
        <v>1</v>
      </c>
      <c r="H181" s="2">
        <f>VALUE(
 IF(RIGHT(F181,1)="k",
    LEFT(F181,LEN(F181)-1)*1000,
    SUBSTITUTE(SUBSTITUTE(F181,"đ",""),".","")
 )
)</f>
        <v>34389</v>
      </c>
      <c r="I181" s="2">
        <f t="shared" si="6"/>
        <v>34389</v>
      </c>
      <c r="J181" s="4">
        <v>45650</v>
      </c>
      <c r="K181" s="2" t="s">
        <v>300</v>
      </c>
      <c r="L181" s="2" t="str">
        <f t="shared" si="7"/>
        <v>Trua</v>
      </c>
      <c r="M181" s="2">
        <f t="shared" si="8"/>
        <v>13</v>
      </c>
    </row>
    <row r="182" spans="1:13" ht="15.75" customHeight="1" x14ac:dyDescent="0.25">
      <c r="A182" s="2" t="s">
        <v>599</v>
      </c>
      <c r="B182" s="2" t="s">
        <v>707</v>
      </c>
      <c r="C182" s="2" t="s">
        <v>714</v>
      </c>
      <c r="D182" s="2" t="s">
        <v>37</v>
      </c>
      <c r="E182" s="2" t="s">
        <v>29</v>
      </c>
      <c r="F182" s="2" t="s">
        <v>301</v>
      </c>
      <c r="G182" s="2">
        <v>1</v>
      </c>
      <c r="H182" s="2">
        <f>VALUE(
 IF(RIGHT(F182,1)="k",
    LEFT(F182,LEN(F182)-1)*1000,
    SUBSTITUTE(SUBSTITUTE(F182,"đ",""),".","")
 )
)</f>
        <v>39051</v>
      </c>
      <c r="I182" s="2">
        <f t="shared" si="6"/>
        <v>39051</v>
      </c>
      <c r="J182" s="4">
        <v>45629</v>
      </c>
      <c r="K182" s="2" t="s">
        <v>302</v>
      </c>
      <c r="L182" s="2" t="str">
        <f t="shared" si="7"/>
        <v>Toi</v>
      </c>
      <c r="M182" s="2">
        <f t="shared" si="8"/>
        <v>20</v>
      </c>
    </row>
    <row r="183" spans="1:13" ht="15.75" customHeight="1" x14ac:dyDescent="0.25">
      <c r="A183" s="2" t="s">
        <v>600</v>
      </c>
      <c r="B183" s="2" t="s">
        <v>706</v>
      </c>
      <c r="C183" s="2" t="s">
        <v>710</v>
      </c>
      <c r="D183" s="2" t="s">
        <v>28</v>
      </c>
      <c r="E183" s="2" t="s">
        <v>29</v>
      </c>
      <c r="F183" s="2" t="s">
        <v>15</v>
      </c>
      <c r="G183" s="2">
        <v>2</v>
      </c>
      <c r="H183" s="2">
        <f>VALUE(
 IF(RIGHT(F183,1)="k",
    LEFT(F183,LEN(F183)-1)*1000,
    SUBSTITUTE(SUBSTITUTE(F183,"đ",""),".","")
 )
)</f>
        <v>33000</v>
      </c>
      <c r="I183" s="2">
        <f t="shared" si="6"/>
        <v>66000</v>
      </c>
      <c r="J183" s="4">
        <v>45516</v>
      </c>
      <c r="K183" s="2" t="s">
        <v>303</v>
      </c>
      <c r="L183" s="2" t="str">
        <f t="shared" si="7"/>
        <v>Trua</v>
      </c>
      <c r="M183" s="2">
        <f t="shared" si="8"/>
        <v>11</v>
      </c>
    </row>
    <row r="184" spans="1:13" ht="15.75" customHeight="1" x14ac:dyDescent="0.25">
      <c r="A184" s="2" t="s">
        <v>529</v>
      </c>
      <c r="B184" s="2" t="s">
        <v>707</v>
      </c>
      <c r="C184" s="2" t="s">
        <v>713</v>
      </c>
      <c r="D184" s="2" t="s">
        <v>9</v>
      </c>
      <c r="E184" s="2" t="s">
        <v>76</v>
      </c>
      <c r="F184" s="2" t="s">
        <v>213</v>
      </c>
      <c r="G184" s="2">
        <v>1</v>
      </c>
      <c r="H184" s="2">
        <f>VALUE(
 IF(RIGHT(F184,1)="k",
    LEFT(F184,LEN(F184)-1)*1000,
    SUBSTITUTE(SUBSTITUTE(F184,"đ",""),".","")
 )
)</f>
        <v>51000</v>
      </c>
      <c r="I184" s="2">
        <f t="shared" si="6"/>
        <v>51000</v>
      </c>
      <c r="J184" s="4">
        <v>45633</v>
      </c>
      <c r="K184" s="2" t="s">
        <v>214</v>
      </c>
      <c r="L184" s="2" t="str">
        <f t="shared" si="7"/>
        <v>Toi</v>
      </c>
      <c r="M184" s="2">
        <f t="shared" si="8"/>
        <v>18</v>
      </c>
    </row>
    <row r="185" spans="1:13" ht="15.75" customHeight="1" x14ac:dyDescent="0.25">
      <c r="A185" s="2" t="s">
        <v>601</v>
      </c>
      <c r="B185" s="2" t="s">
        <v>709</v>
      </c>
      <c r="C185" s="2" t="s">
        <v>721</v>
      </c>
      <c r="D185" s="2" t="s">
        <v>79</v>
      </c>
      <c r="E185" s="2" t="s">
        <v>29</v>
      </c>
      <c r="F185" s="2" t="s">
        <v>304</v>
      </c>
      <c r="G185" s="2">
        <v>3</v>
      </c>
      <c r="H185" s="2">
        <f>VALUE(
 IF(RIGHT(F185,1)="k",
    LEFT(F185,LEN(F185)-1)*1000,
    SUBSTITUTE(SUBSTITUTE(F185,"đ",""),".","")
 )
)</f>
        <v>53727</v>
      </c>
      <c r="I185" s="2">
        <f t="shared" si="6"/>
        <v>161181</v>
      </c>
      <c r="J185" s="4">
        <v>45647</v>
      </c>
      <c r="K185" s="2" t="s">
        <v>189</v>
      </c>
      <c r="L185" s="2" t="str">
        <f t="shared" si="7"/>
        <v>Trua</v>
      </c>
      <c r="M185" s="2">
        <f t="shared" si="8"/>
        <v>12</v>
      </c>
    </row>
    <row r="186" spans="1:13" ht="15.75" customHeight="1" x14ac:dyDescent="0.25">
      <c r="A186" s="2" t="s">
        <v>602</v>
      </c>
      <c r="B186" s="2" t="s">
        <v>705</v>
      </c>
      <c r="C186" s="2" t="s">
        <v>723</v>
      </c>
      <c r="D186" s="2" t="s">
        <v>13</v>
      </c>
      <c r="E186" s="2" t="s">
        <v>14</v>
      </c>
      <c r="F186" s="2" t="s">
        <v>305</v>
      </c>
      <c r="G186" s="2">
        <v>3</v>
      </c>
      <c r="H186" s="2">
        <f>VALUE(
 IF(RIGHT(F186,1)="k",
    LEFT(F186,LEN(F186)-1)*1000,
    SUBSTITUTE(SUBSTITUTE(F186,"đ",""),".","")
 )
)</f>
        <v>36633</v>
      </c>
      <c r="I186" s="2">
        <f t="shared" si="6"/>
        <v>109899</v>
      </c>
      <c r="J186" s="4">
        <v>45643</v>
      </c>
      <c r="K186" s="2" t="s">
        <v>306</v>
      </c>
      <c r="L186" s="2" t="str">
        <f t="shared" si="7"/>
        <v>Toi</v>
      </c>
      <c r="M186" s="2">
        <f t="shared" si="8"/>
        <v>17</v>
      </c>
    </row>
    <row r="187" spans="1:13" ht="15.75" customHeight="1" x14ac:dyDescent="0.25">
      <c r="A187" s="2" t="s">
        <v>603</v>
      </c>
      <c r="B187" s="2" t="s">
        <v>707</v>
      </c>
      <c r="C187" s="2" t="s">
        <v>716</v>
      </c>
      <c r="D187" s="2" t="s">
        <v>79</v>
      </c>
      <c r="E187" s="2" t="s">
        <v>29</v>
      </c>
      <c r="F187" s="2" t="s">
        <v>307</v>
      </c>
      <c r="G187" s="2">
        <v>2</v>
      </c>
      <c r="H187" s="2">
        <f>VALUE(
 IF(RIGHT(F187,1)="k",
    LEFT(F187,LEN(F187)-1)*1000,
    SUBSTITUTE(SUBSTITUTE(F187,"đ",""),".","")
 )
)</f>
        <v>52000</v>
      </c>
      <c r="I187" s="2">
        <f t="shared" si="6"/>
        <v>104000</v>
      </c>
      <c r="J187" s="4">
        <v>45629</v>
      </c>
      <c r="K187" s="2" t="s">
        <v>308</v>
      </c>
      <c r="L187" s="2" t="str">
        <f t="shared" si="7"/>
        <v>Sang</v>
      </c>
      <c r="M187" s="2">
        <f t="shared" si="8"/>
        <v>8</v>
      </c>
    </row>
    <row r="188" spans="1:13" ht="15.75" customHeight="1" x14ac:dyDescent="0.25">
      <c r="A188" s="2" t="s">
        <v>604</v>
      </c>
      <c r="B188" s="2" t="s">
        <v>708</v>
      </c>
      <c r="C188" s="2" t="s">
        <v>713</v>
      </c>
      <c r="D188" s="2" t="s">
        <v>220</v>
      </c>
      <c r="E188" s="2" t="s">
        <v>29</v>
      </c>
      <c r="F188" s="2" t="s">
        <v>309</v>
      </c>
      <c r="G188" s="2">
        <v>1</v>
      </c>
      <c r="H188" s="2">
        <f>VALUE(
 IF(RIGHT(F188,1)="k",
    LEFT(F188,LEN(F188)-1)*1000,
    SUBSTITUTE(SUBSTITUTE(F188,"đ",""),".","")
 )
)</f>
        <v>62000</v>
      </c>
      <c r="I188" s="2">
        <f t="shared" si="6"/>
        <v>62000</v>
      </c>
      <c r="J188" s="4">
        <v>45640</v>
      </c>
      <c r="K188" s="2" t="s">
        <v>310</v>
      </c>
      <c r="L188" s="2" t="str">
        <f t="shared" si="7"/>
        <v>Toi</v>
      </c>
      <c r="M188" s="2">
        <f t="shared" si="8"/>
        <v>20</v>
      </c>
    </row>
    <row r="189" spans="1:13" ht="15.75" customHeight="1" x14ac:dyDescent="0.25">
      <c r="A189" s="2" t="s">
        <v>605</v>
      </c>
      <c r="B189" s="2" t="s">
        <v>705</v>
      </c>
      <c r="C189" s="2" t="s">
        <v>715</v>
      </c>
      <c r="D189" s="2" t="s">
        <v>124</v>
      </c>
      <c r="E189" s="2" t="s">
        <v>22</v>
      </c>
      <c r="F189" s="2" t="s">
        <v>311</v>
      </c>
      <c r="G189" s="2">
        <v>1</v>
      </c>
      <c r="H189" s="2">
        <f>VALUE(
 IF(RIGHT(F189,1)="k",
    LEFT(F189,LEN(F189)-1)*1000,
    SUBSTITUTE(SUBSTITUTE(F189,"đ",""),".","")
 )
)</f>
        <v>34040</v>
      </c>
      <c r="I189" s="2">
        <f t="shared" si="6"/>
        <v>34040</v>
      </c>
      <c r="J189" s="4">
        <v>45641</v>
      </c>
      <c r="K189" s="2" t="s">
        <v>312</v>
      </c>
      <c r="L189" s="2" t="str">
        <f t="shared" si="7"/>
        <v>Trua</v>
      </c>
      <c r="M189" s="2">
        <f t="shared" si="8"/>
        <v>13</v>
      </c>
    </row>
    <row r="190" spans="1:13" ht="15.75" customHeight="1" x14ac:dyDescent="0.25">
      <c r="A190" s="2" t="s">
        <v>606</v>
      </c>
      <c r="B190" s="2" t="s">
        <v>705</v>
      </c>
      <c r="C190" s="2" t="s">
        <v>721</v>
      </c>
      <c r="D190" s="2" t="s">
        <v>42</v>
      </c>
      <c r="E190" s="2" t="s">
        <v>34</v>
      </c>
      <c r="F190" s="2" t="s">
        <v>240</v>
      </c>
      <c r="G190" s="2">
        <v>2</v>
      </c>
      <c r="H190" s="2">
        <f>VALUE(
 IF(RIGHT(F190,1)="k",
    LEFT(F190,LEN(F190)-1)*1000,
    SUBSTITUTE(SUBSTITUTE(F190,"đ",""),".","")
 )
)</f>
        <v>51000</v>
      </c>
      <c r="I190" s="2">
        <f t="shared" si="6"/>
        <v>102000</v>
      </c>
      <c r="J190" s="4">
        <v>45632</v>
      </c>
      <c r="K190" s="2" t="s">
        <v>313</v>
      </c>
      <c r="L190" s="2" t="str">
        <f t="shared" si="7"/>
        <v>Toi</v>
      </c>
      <c r="M190" s="2">
        <f t="shared" si="8"/>
        <v>18</v>
      </c>
    </row>
    <row r="191" spans="1:13" ht="15.75" customHeight="1" x14ac:dyDescent="0.25">
      <c r="A191" s="2" t="s">
        <v>607</v>
      </c>
      <c r="B191" s="2" t="s">
        <v>708</v>
      </c>
      <c r="C191" s="2" t="s">
        <v>723</v>
      </c>
      <c r="D191" s="2" t="s">
        <v>64</v>
      </c>
      <c r="E191" s="2" t="s">
        <v>29</v>
      </c>
      <c r="F191" s="2" t="s">
        <v>149</v>
      </c>
      <c r="G191" s="2">
        <v>2</v>
      </c>
      <c r="H191" s="2">
        <f>VALUE(
 IF(RIGHT(F191,1)="k",
    LEFT(F191,LEN(F191)-1)*1000,
    SUBSTITUTE(SUBSTITUTE(F191,"đ",""),".","")
 )
)</f>
        <v>48000</v>
      </c>
      <c r="I191" s="2">
        <f t="shared" si="6"/>
        <v>96000</v>
      </c>
      <c r="J191" s="4">
        <v>45646</v>
      </c>
      <c r="K191" s="2" t="s">
        <v>314</v>
      </c>
      <c r="L191" s="2" t="str">
        <f t="shared" si="7"/>
        <v>Toi</v>
      </c>
      <c r="M191" s="2">
        <f t="shared" si="8"/>
        <v>19</v>
      </c>
    </row>
    <row r="192" spans="1:13" ht="15.75" customHeight="1" x14ac:dyDescent="0.25">
      <c r="A192" s="2" t="s">
        <v>608</v>
      </c>
      <c r="B192" s="2" t="s">
        <v>707</v>
      </c>
      <c r="C192" s="2" t="s">
        <v>717</v>
      </c>
      <c r="D192" s="2" t="s">
        <v>13</v>
      </c>
      <c r="E192" s="2" t="s">
        <v>87</v>
      </c>
      <c r="F192" s="2" t="s">
        <v>315</v>
      </c>
      <c r="G192" s="2">
        <v>3</v>
      </c>
      <c r="H192" s="2">
        <f>VALUE(
 IF(RIGHT(F192,1)="k",
    LEFT(F192,LEN(F192)-1)*1000,
    SUBSTITUTE(SUBSTITUTE(F192,"đ",""),".","")
 )
)</f>
        <v>33323</v>
      </c>
      <c r="I192" s="2">
        <f t="shared" si="6"/>
        <v>99969</v>
      </c>
      <c r="J192" s="4">
        <v>45651</v>
      </c>
      <c r="K192" s="2" t="s">
        <v>316</v>
      </c>
      <c r="L192" s="2" t="str">
        <f t="shared" si="7"/>
        <v>Chieu</v>
      </c>
      <c r="M192" s="2">
        <f t="shared" si="8"/>
        <v>14</v>
      </c>
    </row>
    <row r="193" spans="1:13" ht="15.75" customHeight="1" x14ac:dyDescent="0.25">
      <c r="A193" s="2" t="s">
        <v>609</v>
      </c>
      <c r="B193" s="2" t="s">
        <v>705</v>
      </c>
      <c r="C193" s="2" t="s">
        <v>718</v>
      </c>
      <c r="D193" s="2" t="s">
        <v>61</v>
      </c>
      <c r="E193" s="2" t="s">
        <v>10</v>
      </c>
      <c r="F193" s="2" t="s">
        <v>43</v>
      </c>
      <c r="G193" s="2">
        <v>1</v>
      </c>
      <c r="H193" s="2">
        <f>VALUE(
 IF(RIGHT(F193,1)="k",
    LEFT(F193,LEN(F193)-1)*1000,
    SUBSTITUTE(SUBSTITUTE(F193,"đ",""),".","")
 )
)</f>
        <v>50000</v>
      </c>
      <c r="I193" s="2">
        <f t="shared" si="6"/>
        <v>50000</v>
      </c>
      <c r="J193" s="4">
        <v>45643</v>
      </c>
      <c r="K193" s="2" t="s">
        <v>317</v>
      </c>
      <c r="L193" s="2" t="str">
        <f t="shared" si="7"/>
        <v>Sang</v>
      </c>
      <c r="M193" s="2">
        <f t="shared" si="8"/>
        <v>10</v>
      </c>
    </row>
    <row r="194" spans="1:13" ht="15.75" customHeight="1" x14ac:dyDescent="0.25">
      <c r="A194" s="2" t="s">
        <v>610</v>
      </c>
      <c r="B194" s="2" t="s">
        <v>708</v>
      </c>
      <c r="C194" s="2" t="s">
        <v>712</v>
      </c>
      <c r="D194" s="2" t="s">
        <v>220</v>
      </c>
      <c r="E194" s="2" t="s">
        <v>29</v>
      </c>
      <c r="F194" s="2" t="s">
        <v>318</v>
      </c>
      <c r="G194" s="2">
        <v>2</v>
      </c>
      <c r="H194" s="2">
        <f>VALUE(
 IF(RIGHT(F194,1)="k",
    LEFT(F194,LEN(F194)-1)*1000,
    SUBSTITUTE(SUBSTITUTE(F194,"đ",""),".","")
 )
)</f>
        <v>61860</v>
      </c>
      <c r="I194" s="2">
        <f t="shared" ref="I194:I257" si="9">(G194)*(H194)</f>
        <v>123720</v>
      </c>
      <c r="J194" s="4">
        <v>45651</v>
      </c>
      <c r="K194" s="2" t="s">
        <v>319</v>
      </c>
      <c r="L194" s="2" t="str">
        <f t="shared" ref="L194:L257" si="10">IF(M194&lt;11,"Sang",
 IF(M194&lt;14,"Trua",
 IF(M194&lt;17,"Chieu","Toi")))</f>
        <v>Sang</v>
      </c>
      <c r="M194" s="2">
        <f t="shared" ref="M194:M257" si="11">HOUR(K194)</f>
        <v>9</v>
      </c>
    </row>
    <row r="195" spans="1:13" ht="15.75" customHeight="1" x14ac:dyDescent="0.25">
      <c r="A195" s="2" t="s">
        <v>611</v>
      </c>
      <c r="B195" s="2" t="s">
        <v>707</v>
      </c>
      <c r="C195" s="2" t="s">
        <v>710</v>
      </c>
      <c r="D195" s="2" t="s">
        <v>58</v>
      </c>
      <c r="E195" s="2" t="s">
        <v>22</v>
      </c>
      <c r="F195" s="2" t="s">
        <v>65</v>
      </c>
      <c r="G195" s="2">
        <v>2</v>
      </c>
      <c r="H195" s="2">
        <f>VALUE(
 IF(RIGHT(F195,1)="k",
    LEFT(F195,LEN(F195)-1)*1000,
    SUBSTITUTE(SUBSTITUTE(F195,"đ",""),".","")
 )
)</f>
        <v>52000</v>
      </c>
      <c r="I195" s="2">
        <f t="shared" si="9"/>
        <v>104000</v>
      </c>
      <c r="J195" s="4">
        <v>45643</v>
      </c>
      <c r="K195" s="2" t="s">
        <v>320</v>
      </c>
      <c r="L195" s="2" t="str">
        <f t="shared" si="10"/>
        <v>Sang</v>
      </c>
      <c r="M195" s="2">
        <f t="shared" si="11"/>
        <v>9</v>
      </c>
    </row>
    <row r="196" spans="1:13" ht="15.75" customHeight="1" x14ac:dyDescent="0.25">
      <c r="A196" s="2" t="s">
        <v>612</v>
      </c>
      <c r="B196" s="2" t="s">
        <v>708</v>
      </c>
      <c r="C196" s="2" t="s">
        <v>723</v>
      </c>
      <c r="D196" s="2" t="s">
        <v>37</v>
      </c>
      <c r="E196" s="2" t="s">
        <v>29</v>
      </c>
      <c r="F196" s="2" t="s">
        <v>255</v>
      </c>
      <c r="G196" s="2">
        <v>3</v>
      </c>
      <c r="H196" s="2">
        <f>VALUE(
 IF(RIGHT(F196,1)="k",
    LEFT(F196,LEN(F196)-1)*1000,
    SUBSTITUTE(SUBSTITUTE(F196,"đ",""),".","")
 )
)</f>
        <v>38000</v>
      </c>
      <c r="I196" s="2">
        <f t="shared" si="9"/>
        <v>114000</v>
      </c>
      <c r="J196" s="4">
        <v>45646</v>
      </c>
      <c r="K196" s="2" t="s">
        <v>321</v>
      </c>
      <c r="L196" s="2" t="str">
        <f t="shared" si="10"/>
        <v>Sang</v>
      </c>
      <c r="M196" s="2">
        <f t="shared" si="11"/>
        <v>7</v>
      </c>
    </row>
    <row r="197" spans="1:13" ht="15.75" customHeight="1" x14ac:dyDescent="0.25">
      <c r="A197" s="2" t="s">
        <v>613</v>
      </c>
      <c r="B197" s="2" t="s">
        <v>709</v>
      </c>
      <c r="C197" s="2" t="s">
        <v>717</v>
      </c>
      <c r="D197" s="2" t="s">
        <v>9</v>
      </c>
      <c r="E197" s="2" t="s">
        <v>10</v>
      </c>
      <c r="F197" s="2" t="s">
        <v>240</v>
      </c>
      <c r="G197" s="2">
        <v>3</v>
      </c>
      <c r="H197" s="2">
        <f>VALUE(
 IF(RIGHT(F197,1)="k",
    LEFT(F197,LEN(F197)-1)*1000,
    SUBSTITUTE(SUBSTITUTE(F197,"đ",""),".","")
 )
)</f>
        <v>51000</v>
      </c>
      <c r="I197" s="2">
        <f t="shared" si="9"/>
        <v>153000</v>
      </c>
      <c r="J197" s="4">
        <v>45653</v>
      </c>
      <c r="K197" s="2" t="s">
        <v>322</v>
      </c>
      <c r="L197" s="2" t="str">
        <f t="shared" si="10"/>
        <v>Toi</v>
      </c>
      <c r="M197" s="2">
        <f t="shared" si="11"/>
        <v>17</v>
      </c>
    </row>
    <row r="198" spans="1:13" ht="15.75" customHeight="1" x14ac:dyDescent="0.25">
      <c r="A198" s="2" t="s">
        <v>614</v>
      </c>
      <c r="B198" s="2" t="s">
        <v>706</v>
      </c>
      <c r="C198" s="2" t="s">
        <v>723</v>
      </c>
      <c r="D198" s="2" t="s">
        <v>69</v>
      </c>
      <c r="E198" s="2" t="s">
        <v>22</v>
      </c>
      <c r="F198" s="2" t="s">
        <v>128</v>
      </c>
      <c r="G198" s="2">
        <v>2</v>
      </c>
      <c r="H198" s="2">
        <f>VALUE(
 IF(RIGHT(F198,1)="k",
    LEFT(F198,LEN(F198)-1)*1000,
    SUBSTITUTE(SUBSTITUTE(F198,"đ",""),".","")
 )
)</f>
        <v>40000</v>
      </c>
      <c r="I198" s="2">
        <f t="shared" si="9"/>
        <v>80000</v>
      </c>
      <c r="J198" s="4">
        <v>45645</v>
      </c>
      <c r="K198" s="2" t="s">
        <v>207</v>
      </c>
      <c r="L198" s="2" t="str">
        <f t="shared" si="10"/>
        <v>Sang</v>
      </c>
      <c r="M198" s="2">
        <f t="shared" si="11"/>
        <v>9</v>
      </c>
    </row>
    <row r="199" spans="1:13" ht="15.75" customHeight="1" x14ac:dyDescent="0.25">
      <c r="A199" s="2" t="s">
        <v>531</v>
      </c>
      <c r="B199" s="2" t="s">
        <v>706</v>
      </c>
      <c r="C199" s="2" t="s">
        <v>712</v>
      </c>
      <c r="D199" s="2" t="s">
        <v>13</v>
      </c>
      <c r="E199" s="2" t="s">
        <v>87</v>
      </c>
      <c r="F199" s="2" t="s">
        <v>217</v>
      </c>
      <c r="G199" s="2">
        <v>3</v>
      </c>
      <c r="H199" s="2">
        <f>VALUE(
 IF(RIGHT(F199,1)="k",
    LEFT(F199,LEN(F199)-1)*1000,
    SUBSTITUTE(SUBSTITUTE(F199,"đ",""),".","")
 )
)</f>
        <v>35872</v>
      </c>
      <c r="I199" s="2">
        <f t="shared" si="9"/>
        <v>107616</v>
      </c>
      <c r="J199" s="4">
        <v>45645</v>
      </c>
      <c r="K199" s="2" t="s">
        <v>218</v>
      </c>
      <c r="L199" s="2" t="str">
        <f t="shared" si="10"/>
        <v>Chieu</v>
      </c>
      <c r="M199" s="2">
        <f t="shared" si="11"/>
        <v>14</v>
      </c>
    </row>
    <row r="200" spans="1:13" ht="15.75" customHeight="1" x14ac:dyDescent="0.25">
      <c r="A200" s="2" t="s">
        <v>615</v>
      </c>
      <c r="B200" s="2" t="s">
        <v>706</v>
      </c>
      <c r="C200" s="2" t="s">
        <v>715</v>
      </c>
      <c r="D200" s="2" t="s">
        <v>61</v>
      </c>
      <c r="E200" s="2" t="s">
        <v>76</v>
      </c>
      <c r="F200" s="2" t="s">
        <v>240</v>
      </c>
      <c r="G200" s="2">
        <v>1</v>
      </c>
      <c r="H200" s="2">
        <f>VALUE(
 IF(RIGHT(F200,1)="k",
    LEFT(F200,LEN(F200)-1)*1000,
    SUBSTITUTE(SUBSTITUTE(F200,"đ",""),".","")
 )
)</f>
        <v>51000</v>
      </c>
      <c r="I200" s="2">
        <f t="shared" si="9"/>
        <v>51000</v>
      </c>
      <c r="J200" s="4">
        <v>45651</v>
      </c>
      <c r="K200" s="2" t="s">
        <v>323</v>
      </c>
      <c r="L200" s="2" t="str">
        <f t="shared" si="10"/>
        <v>Trua</v>
      </c>
      <c r="M200" s="2">
        <f t="shared" si="11"/>
        <v>11</v>
      </c>
    </row>
    <row r="201" spans="1:13" ht="15.75" customHeight="1" x14ac:dyDescent="0.25">
      <c r="A201" s="2" t="s">
        <v>616</v>
      </c>
      <c r="B201" s="2" t="s">
        <v>706</v>
      </c>
      <c r="C201" s="2" t="s">
        <v>719</v>
      </c>
      <c r="D201" s="2" t="s">
        <v>25</v>
      </c>
      <c r="E201" s="2" t="s">
        <v>18</v>
      </c>
      <c r="F201" s="2" t="s">
        <v>255</v>
      </c>
      <c r="G201" s="2">
        <v>1</v>
      </c>
      <c r="H201" s="2">
        <f>VALUE(
 IF(RIGHT(F201,1)="k",
    LEFT(F201,LEN(F201)-1)*1000,
    SUBSTITUTE(SUBSTITUTE(F201,"đ",""),".","")
 )
)</f>
        <v>38000</v>
      </c>
      <c r="I201" s="2">
        <f t="shared" si="9"/>
        <v>38000</v>
      </c>
      <c r="J201" s="4">
        <v>45642</v>
      </c>
      <c r="K201" s="2" t="s">
        <v>273</v>
      </c>
      <c r="L201" s="2" t="str">
        <f t="shared" si="10"/>
        <v>Trua</v>
      </c>
      <c r="M201" s="2">
        <f t="shared" si="11"/>
        <v>11</v>
      </c>
    </row>
    <row r="202" spans="1:13" ht="15.75" customHeight="1" x14ac:dyDescent="0.25">
      <c r="A202" s="2" t="s">
        <v>617</v>
      </c>
      <c r="B202" s="2" t="s">
        <v>705</v>
      </c>
      <c r="C202" s="2" t="s">
        <v>710</v>
      </c>
      <c r="D202" s="2" t="s">
        <v>61</v>
      </c>
      <c r="E202" s="2" t="s">
        <v>10</v>
      </c>
      <c r="F202" s="2" t="s">
        <v>181</v>
      </c>
      <c r="G202" s="2">
        <v>2</v>
      </c>
      <c r="H202" s="2">
        <f>VALUE(
 IF(RIGHT(F202,1)="k",
    LEFT(F202,LEN(F202)-1)*1000,
    SUBSTITUTE(SUBSTITUTE(F202,"đ",""),".","")
 )
)</f>
        <v>51000</v>
      </c>
      <c r="I202" s="2">
        <f t="shared" si="9"/>
        <v>102000</v>
      </c>
      <c r="J202" s="4">
        <v>45638</v>
      </c>
      <c r="K202" s="2" t="s">
        <v>265</v>
      </c>
      <c r="L202" s="2" t="str">
        <f t="shared" si="10"/>
        <v>Sang</v>
      </c>
      <c r="M202" s="2">
        <f t="shared" si="11"/>
        <v>8</v>
      </c>
    </row>
    <row r="203" spans="1:13" ht="15.75" customHeight="1" x14ac:dyDescent="0.25">
      <c r="A203" s="2" t="s">
        <v>618</v>
      </c>
      <c r="B203" s="2" t="s">
        <v>708</v>
      </c>
      <c r="C203" s="2" t="s">
        <v>718</v>
      </c>
      <c r="D203" s="2" t="s">
        <v>61</v>
      </c>
      <c r="E203" s="2" t="s">
        <v>10</v>
      </c>
      <c r="F203" s="2" t="s">
        <v>43</v>
      </c>
      <c r="G203" s="2">
        <v>1</v>
      </c>
      <c r="H203" s="2">
        <f>VALUE(
 IF(RIGHT(F203,1)="k",
    LEFT(F203,LEN(F203)-1)*1000,
    SUBSTITUTE(SUBSTITUTE(F203,"đ",""),".","")
 )
)</f>
        <v>50000</v>
      </c>
      <c r="I203" s="2">
        <f t="shared" si="9"/>
        <v>50000</v>
      </c>
      <c r="J203" s="4">
        <v>45652</v>
      </c>
      <c r="K203" s="2" t="s">
        <v>324</v>
      </c>
      <c r="L203" s="2" t="str">
        <f t="shared" si="10"/>
        <v>Sang</v>
      </c>
      <c r="M203" s="2">
        <f t="shared" si="11"/>
        <v>8</v>
      </c>
    </row>
    <row r="204" spans="1:13" ht="15.75" customHeight="1" x14ac:dyDescent="0.25">
      <c r="A204" s="2" t="s">
        <v>619</v>
      </c>
      <c r="B204" s="2" t="s">
        <v>709</v>
      </c>
      <c r="C204" s="2" t="s">
        <v>714</v>
      </c>
      <c r="D204" s="2" t="s">
        <v>50</v>
      </c>
      <c r="E204" s="2" t="s">
        <v>22</v>
      </c>
      <c r="F204" s="2" t="s">
        <v>204</v>
      </c>
      <c r="G204" s="2">
        <v>1</v>
      </c>
      <c r="H204" s="2">
        <f>VALUE(
 IF(RIGHT(F204,1)="k",
    LEFT(F204,LEN(F204)-1)*1000,
    SUBSTITUTE(SUBSTITUTE(F204,"đ",""),".","")
 )
)</f>
        <v>45000</v>
      </c>
      <c r="I204" s="2">
        <f t="shared" si="9"/>
        <v>45000</v>
      </c>
      <c r="J204" s="4">
        <v>45647</v>
      </c>
      <c r="K204" s="2" t="s">
        <v>325</v>
      </c>
      <c r="L204" s="2" t="str">
        <f t="shared" si="10"/>
        <v>Toi</v>
      </c>
      <c r="M204" s="2">
        <f t="shared" si="11"/>
        <v>17</v>
      </c>
    </row>
    <row r="205" spans="1:13" ht="15.75" customHeight="1" x14ac:dyDescent="0.25">
      <c r="A205" s="2" t="s">
        <v>620</v>
      </c>
      <c r="B205" s="2" t="s">
        <v>706</v>
      </c>
      <c r="C205" s="2" t="s">
        <v>723</v>
      </c>
      <c r="D205" s="2" t="s">
        <v>45</v>
      </c>
      <c r="E205" s="2" t="s">
        <v>29</v>
      </c>
      <c r="F205" s="2" t="s">
        <v>326</v>
      </c>
      <c r="G205" s="2">
        <v>2</v>
      </c>
      <c r="H205" s="2">
        <f>VALUE(
 IF(RIGHT(F205,1)="k",
    LEFT(F205,LEN(F205)-1)*1000,
    SUBSTITUTE(SUBSTITUTE(F205,"đ",""),".","")
 )
)</f>
        <v>31000</v>
      </c>
      <c r="I205" s="2">
        <f t="shared" si="9"/>
        <v>62000</v>
      </c>
      <c r="J205" s="4">
        <v>45647</v>
      </c>
      <c r="K205" s="2" t="s">
        <v>327</v>
      </c>
      <c r="L205" s="2" t="str">
        <f t="shared" si="10"/>
        <v>Sang</v>
      </c>
      <c r="M205" s="2">
        <f t="shared" si="11"/>
        <v>10</v>
      </c>
    </row>
    <row r="206" spans="1:13" ht="15.75" customHeight="1" x14ac:dyDescent="0.25">
      <c r="A206" s="2" t="s">
        <v>472</v>
      </c>
      <c r="B206" s="2" t="s">
        <v>708</v>
      </c>
      <c r="C206" s="2" t="s">
        <v>724</v>
      </c>
      <c r="D206" s="2" t="s">
        <v>6</v>
      </c>
      <c r="E206" s="2" t="s">
        <v>29</v>
      </c>
      <c r="F206" s="2" t="s">
        <v>120</v>
      </c>
      <c r="G206" s="2">
        <v>2</v>
      </c>
      <c r="H206" s="2">
        <f>VALUE(
 IF(RIGHT(F206,1)="k",
    LEFT(F206,LEN(F206)-1)*1000,
    SUBSTITUTE(SUBSTITUTE(F206,"đ",""),".","")
 )
)</f>
        <v>54349</v>
      </c>
      <c r="I206" s="2">
        <f t="shared" si="9"/>
        <v>108698</v>
      </c>
      <c r="J206" s="4">
        <v>45631</v>
      </c>
      <c r="K206" s="2" t="s">
        <v>121</v>
      </c>
      <c r="L206" s="2" t="str">
        <f t="shared" si="10"/>
        <v>Sang</v>
      </c>
      <c r="M206" s="2">
        <f t="shared" si="11"/>
        <v>9</v>
      </c>
    </row>
    <row r="207" spans="1:13" ht="15.75" customHeight="1" x14ac:dyDescent="0.25">
      <c r="A207" s="2" t="s">
        <v>621</v>
      </c>
      <c r="B207" s="2" t="s">
        <v>707</v>
      </c>
      <c r="C207" s="2" t="s">
        <v>715</v>
      </c>
      <c r="D207" s="2" t="s">
        <v>69</v>
      </c>
      <c r="E207" s="2" t="s">
        <v>22</v>
      </c>
      <c r="F207" s="2" t="s">
        <v>88</v>
      </c>
      <c r="G207" s="2">
        <v>1</v>
      </c>
      <c r="H207" s="2">
        <f>VALUE(
 IF(RIGHT(F207,1)="k",
    LEFT(F207,LEN(F207)-1)*1000,
    SUBSTITUTE(SUBSTITUTE(F207,"đ",""),".","")
 )
)</f>
        <v>40000</v>
      </c>
      <c r="I207" s="2">
        <f t="shared" si="9"/>
        <v>40000</v>
      </c>
      <c r="J207" s="4">
        <v>45645</v>
      </c>
      <c r="K207" s="2" t="s">
        <v>328</v>
      </c>
      <c r="L207" s="2" t="str">
        <f t="shared" si="10"/>
        <v>Sang</v>
      </c>
      <c r="M207" s="2">
        <f t="shared" si="11"/>
        <v>7</v>
      </c>
    </row>
    <row r="208" spans="1:13" ht="15.75" customHeight="1" x14ac:dyDescent="0.25">
      <c r="A208" s="2" t="s">
        <v>622</v>
      </c>
      <c r="B208" s="2" t="s">
        <v>709</v>
      </c>
      <c r="C208" s="2" t="s">
        <v>714</v>
      </c>
      <c r="D208" s="2" t="s">
        <v>42</v>
      </c>
      <c r="E208" s="2" t="s">
        <v>87</v>
      </c>
      <c r="F208" s="2" t="s">
        <v>11</v>
      </c>
      <c r="G208" s="2">
        <v>3</v>
      </c>
      <c r="H208" s="2">
        <f>VALUE(
 IF(RIGHT(F208,1)="k",
    LEFT(F208,LEN(F208)-1)*1000,
    SUBSTITUTE(SUBSTITUTE(F208,"đ",""),".","")
 )
)</f>
        <v>49000</v>
      </c>
      <c r="I208" s="2">
        <f t="shared" si="9"/>
        <v>147000</v>
      </c>
      <c r="J208" s="4">
        <v>45638</v>
      </c>
      <c r="K208" s="2" t="s">
        <v>329</v>
      </c>
      <c r="L208" s="2" t="str">
        <f t="shared" si="10"/>
        <v>Toi</v>
      </c>
      <c r="M208" s="2">
        <f t="shared" si="11"/>
        <v>17</v>
      </c>
    </row>
    <row r="209" spans="1:13" ht="15.75" customHeight="1" x14ac:dyDescent="0.25">
      <c r="A209" s="2" t="s">
        <v>623</v>
      </c>
      <c r="B209" s="2" t="s">
        <v>708</v>
      </c>
      <c r="C209" s="2" t="s">
        <v>718</v>
      </c>
      <c r="D209" s="2" t="s">
        <v>79</v>
      </c>
      <c r="E209" s="2" t="s">
        <v>29</v>
      </c>
      <c r="F209" s="2" t="s">
        <v>258</v>
      </c>
      <c r="G209" s="2">
        <v>1</v>
      </c>
      <c r="H209" s="2">
        <f>VALUE(
 IF(RIGHT(F209,1)="k",
    LEFT(F209,LEN(F209)-1)*1000,
    SUBSTITUTE(SUBSTITUTE(F209,"đ",""),".","")
 )
)</f>
        <v>55000</v>
      </c>
      <c r="I209" s="2">
        <f t="shared" si="9"/>
        <v>55000</v>
      </c>
      <c r="J209" s="4">
        <v>45649</v>
      </c>
      <c r="K209" s="2" t="s">
        <v>330</v>
      </c>
      <c r="L209" s="2" t="str">
        <f t="shared" si="10"/>
        <v>Sang</v>
      </c>
      <c r="M209" s="2">
        <f t="shared" si="11"/>
        <v>8</v>
      </c>
    </row>
    <row r="210" spans="1:13" ht="15.75" customHeight="1" x14ac:dyDescent="0.25">
      <c r="A210" s="2" t="s">
        <v>624</v>
      </c>
      <c r="B210" s="2" t="s">
        <v>705</v>
      </c>
      <c r="C210" s="2" t="s">
        <v>719</v>
      </c>
      <c r="D210" s="2" t="s">
        <v>42</v>
      </c>
      <c r="E210" s="2" t="s">
        <v>87</v>
      </c>
      <c r="F210" s="2" t="s">
        <v>331</v>
      </c>
      <c r="G210" s="2">
        <v>2</v>
      </c>
      <c r="H210" s="2">
        <f>VALUE(
 IF(RIGHT(F210,1)="k",
    LEFT(F210,LEN(F210)-1)*1000,
    SUBSTITUTE(SUBSTITUTE(F210,"đ",""),".","")
 )
)</f>
        <v>47747</v>
      </c>
      <c r="I210" s="2">
        <f t="shared" si="9"/>
        <v>95494</v>
      </c>
      <c r="J210" s="4">
        <v>45627</v>
      </c>
      <c r="K210" s="2" t="s">
        <v>245</v>
      </c>
      <c r="L210" s="2" t="str">
        <f t="shared" si="10"/>
        <v>Trua</v>
      </c>
      <c r="M210" s="2">
        <f t="shared" si="11"/>
        <v>12</v>
      </c>
    </row>
    <row r="211" spans="1:13" ht="15.75" customHeight="1" x14ac:dyDescent="0.25">
      <c r="A211" s="2" t="s">
        <v>625</v>
      </c>
      <c r="B211" s="2" t="s">
        <v>709</v>
      </c>
      <c r="C211" s="2" t="s">
        <v>714</v>
      </c>
      <c r="D211" s="2" t="s">
        <v>58</v>
      </c>
      <c r="E211" s="2" t="s">
        <v>22</v>
      </c>
      <c r="F211" s="2" t="s">
        <v>307</v>
      </c>
      <c r="G211" s="2">
        <v>1</v>
      </c>
      <c r="H211" s="2">
        <f>VALUE(
 IF(RIGHT(F211,1)="k",
    LEFT(F211,LEN(F211)-1)*1000,
    SUBSTITUTE(SUBSTITUTE(F211,"đ",""),".","")
 )
)</f>
        <v>52000</v>
      </c>
      <c r="I211" s="2">
        <f t="shared" si="9"/>
        <v>52000</v>
      </c>
      <c r="J211" s="4">
        <v>45649</v>
      </c>
      <c r="K211" s="2" t="s">
        <v>332</v>
      </c>
      <c r="L211" s="2" t="str">
        <f t="shared" si="10"/>
        <v>Chieu</v>
      </c>
      <c r="M211" s="2">
        <f t="shared" si="11"/>
        <v>15</v>
      </c>
    </row>
    <row r="212" spans="1:13" ht="15.75" customHeight="1" x14ac:dyDescent="0.25">
      <c r="A212" s="2" t="s">
        <v>626</v>
      </c>
      <c r="B212" s="2" t="s">
        <v>706</v>
      </c>
      <c r="C212" s="2" t="s">
        <v>716</v>
      </c>
      <c r="D212" s="2" t="s">
        <v>37</v>
      </c>
      <c r="E212" s="2" t="s">
        <v>29</v>
      </c>
      <c r="F212" s="2" t="s">
        <v>333</v>
      </c>
      <c r="G212" s="2">
        <v>1</v>
      </c>
      <c r="H212" s="2">
        <f>VALUE(
 IF(RIGHT(F212,1)="k",
    LEFT(F212,LEN(F212)-1)*1000,
    SUBSTITUTE(SUBSTITUTE(F212,"đ",""),".","")
 )
)</f>
        <v>40184</v>
      </c>
      <c r="I212" s="2">
        <f t="shared" si="9"/>
        <v>40184</v>
      </c>
      <c r="J212" s="4">
        <v>45648</v>
      </c>
      <c r="K212" s="2" t="s">
        <v>334</v>
      </c>
      <c r="L212" s="2" t="str">
        <f t="shared" si="10"/>
        <v>Sang</v>
      </c>
      <c r="M212" s="2">
        <f t="shared" si="11"/>
        <v>9</v>
      </c>
    </row>
    <row r="213" spans="1:13" ht="15.75" customHeight="1" x14ac:dyDescent="0.25">
      <c r="A213" s="2" t="s">
        <v>627</v>
      </c>
      <c r="B213" s="2" t="s">
        <v>707</v>
      </c>
      <c r="C213" s="2" t="s">
        <v>722</v>
      </c>
      <c r="D213" s="2" t="s">
        <v>58</v>
      </c>
      <c r="E213" s="2" t="s">
        <v>22</v>
      </c>
      <c r="F213" s="2" t="s">
        <v>264</v>
      </c>
      <c r="G213" s="2">
        <v>2</v>
      </c>
      <c r="H213" s="2">
        <f>VALUE(
 IF(RIGHT(F213,1)="k",
    LEFT(F213,LEN(F213)-1)*1000,
    SUBSTITUTE(SUBSTITUTE(F213,"đ",""),".","")
 )
)</f>
        <v>53000</v>
      </c>
      <c r="I213" s="2">
        <f t="shared" si="9"/>
        <v>106000</v>
      </c>
      <c r="J213" s="4">
        <v>45645</v>
      </c>
      <c r="K213" s="2" t="s">
        <v>335</v>
      </c>
      <c r="L213" s="2" t="str">
        <f t="shared" si="10"/>
        <v>Sang</v>
      </c>
      <c r="M213" s="2">
        <f t="shared" si="11"/>
        <v>9</v>
      </c>
    </row>
    <row r="214" spans="1:13" ht="15.75" customHeight="1" x14ac:dyDescent="0.25">
      <c r="A214" s="2" t="s">
        <v>628</v>
      </c>
      <c r="B214" s="2" t="s">
        <v>709</v>
      </c>
      <c r="C214" s="2" t="s">
        <v>722</v>
      </c>
      <c r="D214" s="2" t="s">
        <v>9</v>
      </c>
      <c r="E214" s="2" t="s">
        <v>76</v>
      </c>
      <c r="F214" s="2" t="s">
        <v>11</v>
      </c>
      <c r="G214" s="2">
        <v>1</v>
      </c>
      <c r="H214" s="2">
        <f>VALUE(
 IF(RIGHT(F214,1)="k",
    LEFT(F214,LEN(F214)-1)*1000,
    SUBSTITUTE(SUBSTITUTE(F214,"đ",""),".","")
 )
)</f>
        <v>49000</v>
      </c>
      <c r="I214" s="2">
        <f t="shared" si="9"/>
        <v>49000</v>
      </c>
      <c r="J214" s="4">
        <v>45651</v>
      </c>
      <c r="K214" s="2" t="s">
        <v>336</v>
      </c>
      <c r="L214" s="2" t="str">
        <f t="shared" si="10"/>
        <v>Toi</v>
      </c>
      <c r="M214" s="2">
        <f t="shared" si="11"/>
        <v>20</v>
      </c>
    </row>
    <row r="215" spans="1:13" ht="15.75" customHeight="1" x14ac:dyDescent="0.25">
      <c r="A215" s="2" t="s">
        <v>629</v>
      </c>
      <c r="B215" s="2" t="s">
        <v>706</v>
      </c>
      <c r="C215" s="2" t="s">
        <v>714</v>
      </c>
      <c r="D215" s="2" t="s">
        <v>56</v>
      </c>
      <c r="E215" s="2" t="s">
        <v>29</v>
      </c>
      <c r="F215" s="2" t="s">
        <v>100</v>
      </c>
      <c r="G215" s="2">
        <v>2</v>
      </c>
      <c r="H215" s="2">
        <f>VALUE(
 IF(RIGHT(F215,1)="k",
    LEFT(F215,LEN(F215)-1)*1000,
    SUBSTITUTE(SUBSTITUTE(F215,"đ",""),".","")
 )
)</f>
        <v>35000</v>
      </c>
      <c r="I215" s="2">
        <f t="shared" si="9"/>
        <v>70000</v>
      </c>
      <c r="J215" s="4">
        <v>45647</v>
      </c>
      <c r="K215" s="2" t="s">
        <v>337</v>
      </c>
      <c r="L215" s="2" t="str">
        <f t="shared" si="10"/>
        <v>Trua</v>
      </c>
      <c r="M215" s="2">
        <f t="shared" si="11"/>
        <v>12</v>
      </c>
    </row>
    <row r="216" spans="1:13" ht="15.75" customHeight="1" x14ac:dyDescent="0.25">
      <c r="A216" s="2" t="s">
        <v>630</v>
      </c>
      <c r="B216" s="2" t="s">
        <v>706</v>
      </c>
      <c r="C216" s="2" t="s">
        <v>714</v>
      </c>
      <c r="D216" s="2" t="s">
        <v>6</v>
      </c>
      <c r="E216" s="2" t="s">
        <v>29</v>
      </c>
      <c r="F216" s="2" t="s">
        <v>338</v>
      </c>
      <c r="G216" s="2">
        <v>3</v>
      </c>
      <c r="H216" s="2">
        <f>VALUE(
 IF(RIGHT(F216,1)="k",
    LEFT(F216,LEN(F216)-1)*1000,
    SUBSTITUTE(SUBSTITUTE(F216,"đ",""),".","")
 )
)</f>
        <v>56000</v>
      </c>
      <c r="I216" s="2">
        <f t="shared" si="9"/>
        <v>168000</v>
      </c>
      <c r="J216" s="4">
        <v>45641</v>
      </c>
      <c r="K216" s="2" t="s">
        <v>339</v>
      </c>
      <c r="L216" s="2" t="str">
        <f t="shared" si="10"/>
        <v>Sang</v>
      </c>
      <c r="M216" s="2">
        <f t="shared" si="11"/>
        <v>9</v>
      </c>
    </row>
    <row r="217" spans="1:13" ht="15.75" customHeight="1" x14ac:dyDescent="0.25">
      <c r="A217" s="2" t="s">
        <v>631</v>
      </c>
      <c r="B217" s="2" t="s">
        <v>705</v>
      </c>
      <c r="C217" s="2" t="s">
        <v>720</v>
      </c>
      <c r="D217" s="2" t="s">
        <v>28</v>
      </c>
      <c r="E217" s="2" t="s">
        <v>29</v>
      </c>
      <c r="F217" s="2" t="s">
        <v>278</v>
      </c>
      <c r="G217" s="2">
        <v>1</v>
      </c>
      <c r="H217" s="2">
        <f>VALUE(
 IF(RIGHT(F217,1)="k",
    LEFT(F217,LEN(F217)-1)*1000,
    SUBSTITUTE(SUBSTITUTE(F217,"đ",""),".","")
 )
)</f>
        <v>36000</v>
      </c>
      <c r="I217" s="2">
        <f t="shared" si="9"/>
        <v>36000</v>
      </c>
      <c r="J217" s="4">
        <v>45636</v>
      </c>
      <c r="K217" s="2" t="s">
        <v>340</v>
      </c>
      <c r="L217" s="2" t="str">
        <f t="shared" si="10"/>
        <v>Sang</v>
      </c>
      <c r="M217" s="2">
        <f t="shared" si="11"/>
        <v>10</v>
      </c>
    </row>
    <row r="218" spans="1:13" ht="15.75" customHeight="1" x14ac:dyDescent="0.25">
      <c r="A218" s="2" t="s">
        <v>632</v>
      </c>
      <c r="B218" s="2" t="s">
        <v>707</v>
      </c>
      <c r="C218" s="2" t="s">
        <v>712</v>
      </c>
      <c r="D218" s="2" t="s">
        <v>53</v>
      </c>
      <c r="E218" s="2" t="s">
        <v>10</v>
      </c>
      <c r="F218" s="2" t="s">
        <v>186</v>
      </c>
      <c r="G218" s="2">
        <v>1</v>
      </c>
      <c r="H218" s="2">
        <f>VALUE(
 IF(RIGHT(F218,1)="k",
    LEFT(F218,LEN(F218)-1)*1000,
    SUBSTITUTE(SUBSTITUTE(F218,"đ",""),".","")
 )
)</f>
        <v>43000</v>
      </c>
      <c r="I218" s="2">
        <f t="shared" si="9"/>
        <v>43000</v>
      </c>
      <c r="J218" s="4">
        <v>45629</v>
      </c>
      <c r="K218" s="2" t="s">
        <v>125</v>
      </c>
      <c r="L218" s="2" t="str">
        <f t="shared" si="10"/>
        <v>Sang</v>
      </c>
      <c r="M218" s="2">
        <f t="shared" si="11"/>
        <v>10</v>
      </c>
    </row>
    <row r="219" spans="1:13" ht="15.75" customHeight="1" x14ac:dyDescent="0.25">
      <c r="A219" s="2" t="s">
        <v>438</v>
      </c>
      <c r="B219" s="2" t="s">
        <v>706</v>
      </c>
      <c r="C219" s="2" t="s">
        <v>719</v>
      </c>
      <c r="D219" s="2" t="s">
        <v>28</v>
      </c>
      <c r="E219" s="2" t="s">
        <v>29</v>
      </c>
      <c r="F219" s="2" t="s">
        <v>48</v>
      </c>
      <c r="G219" s="2">
        <v>1</v>
      </c>
      <c r="H219" s="2">
        <f>VALUE(
 IF(RIGHT(F219,1)="k",
    LEFT(F219,LEN(F219)-1)*1000,
    SUBSTITUTE(SUBSTITUTE(F219,"đ",""),".","")
 )
)</f>
        <v>33000</v>
      </c>
      <c r="I219" s="2">
        <f t="shared" si="9"/>
        <v>33000</v>
      </c>
      <c r="J219" s="4">
        <v>45547</v>
      </c>
      <c r="K219" s="2" t="s">
        <v>49</v>
      </c>
      <c r="L219" s="2" t="str">
        <f t="shared" si="10"/>
        <v>Trua</v>
      </c>
      <c r="M219" s="2">
        <f t="shared" si="11"/>
        <v>13</v>
      </c>
    </row>
    <row r="220" spans="1:13" ht="15.75" customHeight="1" x14ac:dyDescent="0.25">
      <c r="A220" s="2" t="s">
        <v>633</v>
      </c>
      <c r="B220" s="2" t="s">
        <v>709</v>
      </c>
      <c r="C220" s="2" t="s">
        <v>713</v>
      </c>
      <c r="D220" s="2" t="s">
        <v>115</v>
      </c>
      <c r="E220" s="2" t="s">
        <v>29</v>
      </c>
      <c r="F220" s="2" t="s">
        <v>341</v>
      </c>
      <c r="G220" s="2">
        <v>2</v>
      </c>
      <c r="H220" s="2">
        <f>VALUE(
 IF(RIGHT(F220,1)="k",
    LEFT(F220,LEN(F220)-1)*1000,
    SUBSTITUTE(SUBSTITUTE(F220,"đ",""),".","")
 )
)</f>
        <v>50828</v>
      </c>
      <c r="I220" s="2">
        <f t="shared" si="9"/>
        <v>101656</v>
      </c>
      <c r="J220" s="4">
        <v>45640</v>
      </c>
      <c r="K220" s="2" t="s">
        <v>342</v>
      </c>
      <c r="L220" s="2" t="str">
        <f t="shared" si="10"/>
        <v>Trua</v>
      </c>
      <c r="M220" s="2">
        <f t="shared" si="11"/>
        <v>13</v>
      </c>
    </row>
    <row r="221" spans="1:13" ht="15.75" customHeight="1" x14ac:dyDescent="0.25">
      <c r="A221" s="2" t="s">
        <v>634</v>
      </c>
      <c r="B221" s="2" t="s">
        <v>705</v>
      </c>
      <c r="C221" s="2" t="s">
        <v>716</v>
      </c>
      <c r="D221" s="2" t="s">
        <v>61</v>
      </c>
      <c r="E221" s="2" t="s">
        <v>10</v>
      </c>
      <c r="F221" s="2" t="s">
        <v>343</v>
      </c>
      <c r="G221" s="2">
        <v>1</v>
      </c>
      <c r="H221" s="2">
        <f>VALUE(
 IF(RIGHT(F221,1)="k",
    LEFT(F221,LEN(F221)-1)*1000,
    SUBSTITUTE(SUBSTITUTE(F221,"đ",""),".","")
 )
)</f>
        <v>51518</v>
      </c>
      <c r="I221" s="2">
        <f t="shared" si="9"/>
        <v>51518</v>
      </c>
      <c r="J221" s="4">
        <v>45654</v>
      </c>
      <c r="K221" s="2" t="s">
        <v>254</v>
      </c>
      <c r="L221" s="2" t="str">
        <f t="shared" si="10"/>
        <v>Sang</v>
      </c>
      <c r="M221" s="2">
        <f t="shared" si="11"/>
        <v>8</v>
      </c>
    </row>
    <row r="222" spans="1:13" ht="15.75" customHeight="1" x14ac:dyDescent="0.25">
      <c r="A222" s="2" t="s">
        <v>635</v>
      </c>
      <c r="B222" s="2" t="s">
        <v>705</v>
      </c>
      <c r="C222" s="2" t="s">
        <v>713</v>
      </c>
      <c r="D222" s="2" t="s">
        <v>124</v>
      </c>
      <c r="E222" s="2" t="s">
        <v>22</v>
      </c>
      <c r="F222" s="2" t="s">
        <v>344</v>
      </c>
      <c r="G222" s="2">
        <v>1</v>
      </c>
      <c r="H222" s="2">
        <f>VALUE(
 IF(RIGHT(F222,1)="k",
    LEFT(F222,LEN(F222)-1)*1000,
    SUBSTITUTE(SUBSTITUTE(F222,"đ",""),".","")
 )
)</f>
        <v>36410</v>
      </c>
      <c r="I222" s="2">
        <f t="shared" si="9"/>
        <v>36410</v>
      </c>
      <c r="J222" s="4">
        <v>45645</v>
      </c>
      <c r="K222" s="2" t="s">
        <v>345</v>
      </c>
      <c r="L222" s="2" t="str">
        <f t="shared" si="10"/>
        <v>Chieu</v>
      </c>
      <c r="M222" s="2">
        <f t="shared" si="11"/>
        <v>15</v>
      </c>
    </row>
    <row r="223" spans="1:13" ht="15.75" customHeight="1" x14ac:dyDescent="0.25">
      <c r="A223" s="2" t="s">
        <v>636</v>
      </c>
      <c r="B223" s="2" t="s">
        <v>707</v>
      </c>
      <c r="C223" s="2" t="s">
        <v>724</v>
      </c>
      <c r="D223" s="2" t="s">
        <v>6</v>
      </c>
      <c r="E223" s="2" t="s">
        <v>29</v>
      </c>
      <c r="F223" s="2" t="s">
        <v>346</v>
      </c>
      <c r="G223" s="2">
        <v>4</v>
      </c>
      <c r="H223" s="2">
        <f>VALUE(
 IF(RIGHT(F223,1)="k",
    LEFT(F223,LEN(F223)-1)*1000,
    SUBSTITUTE(SUBSTITUTE(F223,"đ",""),".","")
 )
)</f>
        <v>54620</v>
      </c>
      <c r="I223" s="2">
        <f t="shared" si="9"/>
        <v>218480</v>
      </c>
      <c r="J223" s="4">
        <v>45642</v>
      </c>
      <c r="K223" s="2" t="s">
        <v>347</v>
      </c>
      <c r="L223" s="2" t="str">
        <f t="shared" si="10"/>
        <v>Chieu</v>
      </c>
      <c r="M223" s="2">
        <f t="shared" si="11"/>
        <v>14</v>
      </c>
    </row>
    <row r="224" spans="1:13" ht="15.75" customHeight="1" x14ac:dyDescent="0.25">
      <c r="A224" s="2" t="s">
        <v>637</v>
      </c>
      <c r="B224" s="2" t="s">
        <v>709</v>
      </c>
      <c r="C224" s="2" t="s">
        <v>719</v>
      </c>
      <c r="D224" s="2" t="s">
        <v>21</v>
      </c>
      <c r="E224" s="2" t="s">
        <v>22</v>
      </c>
      <c r="F224" s="2" t="s">
        <v>348</v>
      </c>
      <c r="G224" s="2">
        <v>2</v>
      </c>
      <c r="H224" s="2">
        <f>VALUE(
 IF(RIGHT(F224,1)="k",
    LEFT(F224,LEN(F224)-1)*1000,
    SUBSTITUTE(SUBSTITUTE(F224,"đ",""),".","")
 )
)</f>
        <v>41704</v>
      </c>
      <c r="I224" s="2">
        <f t="shared" si="9"/>
        <v>83408</v>
      </c>
      <c r="J224" s="4">
        <v>45642</v>
      </c>
      <c r="K224" s="2" t="s">
        <v>349</v>
      </c>
      <c r="L224" s="2" t="str">
        <f t="shared" si="10"/>
        <v>Chieu</v>
      </c>
      <c r="M224" s="2">
        <f t="shared" si="11"/>
        <v>14</v>
      </c>
    </row>
    <row r="225" spans="1:13" ht="15.75" customHeight="1" x14ac:dyDescent="0.25">
      <c r="A225" s="2" t="s">
        <v>529</v>
      </c>
      <c r="B225" s="2" t="s">
        <v>707</v>
      </c>
      <c r="C225" s="2" t="s">
        <v>713</v>
      </c>
      <c r="D225" s="2" t="s">
        <v>9</v>
      </c>
      <c r="E225" s="2" t="s">
        <v>76</v>
      </c>
      <c r="F225" s="2" t="s">
        <v>213</v>
      </c>
      <c r="G225" s="2">
        <v>1</v>
      </c>
      <c r="H225" s="2">
        <f>VALUE(
 IF(RIGHT(F225,1)="k",
    LEFT(F225,LEN(F225)-1)*1000,
    SUBSTITUTE(SUBSTITUTE(F225,"đ",""),".","")
 )
)</f>
        <v>51000</v>
      </c>
      <c r="I225" s="2">
        <f t="shared" si="9"/>
        <v>51000</v>
      </c>
      <c r="J225" s="4">
        <v>45633</v>
      </c>
      <c r="K225" s="2" t="s">
        <v>214</v>
      </c>
      <c r="L225" s="2" t="str">
        <f t="shared" si="10"/>
        <v>Toi</v>
      </c>
      <c r="M225" s="2">
        <f t="shared" si="11"/>
        <v>18</v>
      </c>
    </row>
    <row r="226" spans="1:13" ht="15.75" customHeight="1" x14ac:dyDescent="0.25">
      <c r="A226" s="2" t="s">
        <v>638</v>
      </c>
      <c r="B226" s="2" t="s">
        <v>705</v>
      </c>
      <c r="C226" s="2" t="s">
        <v>718</v>
      </c>
      <c r="D226" s="2" t="s">
        <v>17</v>
      </c>
      <c r="E226" s="2" t="s">
        <v>18</v>
      </c>
      <c r="F226" s="2" t="s">
        <v>138</v>
      </c>
      <c r="G226" s="2">
        <v>1</v>
      </c>
      <c r="H226" s="2">
        <f>VALUE(
 IF(RIGHT(F226,1)="k",
    LEFT(F226,LEN(F226)-1)*1000,
    SUBSTITUTE(SUBSTITUTE(F226,"đ",""),".","")
 )
)</f>
        <v>38000</v>
      </c>
      <c r="I226" s="2">
        <f t="shared" si="9"/>
        <v>38000</v>
      </c>
      <c r="J226" s="4">
        <v>45636</v>
      </c>
      <c r="K226" s="2" t="s">
        <v>350</v>
      </c>
      <c r="L226" s="2" t="str">
        <f t="shared" si="10"/>
        <v>Sang</v>
      </c>
      <c r="M226" s="2">
        <f t="shared" si="11"/>
        <v>8</v>
      </c>
    </row>
    <row r="227" spans="1:13" ht="15.75" customHeight="1" x14ac:dyDescent="0.25">
      <c r="A227" s="2" t="s">
        <v>464</v>
      </c>
      <c r="B227" s="2" t="s">
        <v>709</v>
      </c>
      <c r="C227" s="2" t="s">
        <v>721</v>
      </c>
      <c r="D227" s="2" t="s">
        <v>45</v>
      </c>
      <c r="E227" s="2" t="s">
        <v>29</v>
      </c>
      <c r="F227" s="2" t="s">
        <v>104</v>
      </c>
      <c r="G227" s="2">
        <v>1</v>
      </c>
      <c r="H227" s="2">
        <f>VALUE(
 IF(RIGHT(F227,1)="k",
    LEFT(F227,LEN(F227)-1)*1000,
    SUBSTITUTE(SUBSTITUTE(F227,"đ",""),".","")
 )
)</f>
        <v>29997</v>
      </c>
      <c r="I227" s="2">
        <f t="shared" si="9"/>
        <v>29997</v>
      </c>
      <c r="J227" s="4">
        <v>45639</v>
      </c>
      <c r="K227" s="2" t="s">
        <v>105</v>
      </c>
      <c r="L227" s="2" t="str">
        <f t="shared" si="10"/>
        <v>Trua</v>
      </c>
      <c r="M227" s="2">
        <f t="shared" si="11"/>
        <v>12</v>
      </c>
    </row>
    <row r="228" spans="1:13" ht="15.75" customHeight="1" x14ac:dyDescent="0.25">
      <c r="A228" s="2" t="s">
        <v>639</v>
      </c>
      <c r="B228" s="2" t="s">
        <v>709</v>
      </c>
      <c r="C228" s="2" t="s">
        <v>713</v>
      </c>
      <c r="D228" s="2" t="s">
        <v>28</v>
      </c>
      <c r="E228" s="2" t="s">
        <v>29</v>
      </c>
      <c r="F228" s="2" t="s">
        <v>30</v>
      </c>
      <c r="G228" s="2">
        <v>1</v>
      </c>
      <c r="H228" s="2">
        <f>VALUE(
 IF(RIGHT(F228,1)="k",
    LEFT(F228,LEN(F228)-1)*1000,
    SUBSTITUTE(SUBSTITUTE(F228,"đ",""),".","")
 )
)</f>
        <v>35000</v>
      </c>
      <c r="I228" s="2">
        <f t="shared" si="9"/>
        <v>35000</v>
      </c>
      <c r="J228" s="4">
        <v>45649</v>
      </c>
      <c r="K228" s="2" t="s">
        <v>351</v>
      </c>
      <c r="L228" s="2" t="str">
        <f t="shared" si="10"/>
        <v>Chieu</v>
      </c>
      <c r="M228" s="2">
        <f t="shared" si="11"/>
        <v>15</v>
      </c>
    </row>
    <row r="229" spans="1:13" ht="15.75" customHeight="1" x14ac:dyDescent="0.25">
      <c r="A229" s="2" t="s">
        <v>640</v>
      </c>
      <c r="B229" s="2" t="s">
        <v>707</v>
      </c>
      <c r="C229" s="2" t="s">
        <v>717</v>
      </c>
      <c r="D229" s="2" t="s">
        <v>6</v>
      </c>
      <c r="E229" s="2" t="s">
        <v>29</v>
      </c>
      <c r="F229" s="2" t="s">
        <v>352</v>
      </c>
      <c r="G229" s="2">
        <v>3</v>
      </c>
      <c r="H229" s="2">
        <f>VALUE(
 IF(RIGHT(F229,1)="k",
    LEFT(F229,LEN(F229)-1)*1000,
    SUBSTITUTE(SUBSTITUTE(F229,"đ",""),".","")
 )
)</f>
        <v>57556</v>
      </c>
      <c r="I229" s="2">
        <f t="shared" si="9"/>
        <v>172668</v>
      </c>
      <c r="J229" s="4">
        <v>45640</v>
      </c>
      <c r="K229" s="2" t="s">
        <v>353</v>
      </c>
      <c r="L229" s="2" t="str">
        <f t="shared" si="10"/>
        <v>Chieu</v>
      </c>
      <c r="M229" s="2">
        <f t="shared" si="11"/>
        <v>14</v>
      </c>
    </row>
    <row r="230" spans="1:13" ht="15.75" customHeight="1" x14ac:dyDescent="0.25">
      <c r="A230" s="2" t="s">
        <v>641</v>
      </c>
      <c r="B230" s="2" t="s">
        <v>707</v>
      </c>
      <c r="C230" s="2" t="s">
        <v>723</v>
      </c>
      <c r="D230" s="2" t="s">
        <v>58</v>
      </c>
      <c r="E230" s="2" t="s">
        <v>22</v>
      </c>
      <c r="F230" s="2" t="s">
        <v>250</v>
      </c>
      <c r="G230" s="2">
        <v>2</v>
      </c>
      <c r="H230" s="2">
        <f>VALUE(
 IF(RIGHT(F230,1)="k",
    LEFT(F230,LEN(F230)-1)*1000,
    SUBSTITUTE(SUBSTITUTE(F230,"đ",""),".","")
 )
)</f>
        <v>57000</v>
      </c>
      <c r="I230" s="2">
        <f t="shared" si="9"/>
        <v>114000</v>
      </c>
      <c r="J230" s="4">
        <v>45516</v>
      </c>
      <c r="K230" s="2" t="s">
        <v>354</v>
      </c>
      <c r="L230" s="2" t="str">
        <f t="shared" si="10"/>
        <v>Chieu</v>
      </c>
      <c r="M230" s="2">
        <f t="shared" si="11"/>
        <v>15</v>
      </c>
    </row>
    <row r="231" spans="1:13" ht="15.75" customHeight="1" x14ac:dyDescent="0.25">
      <c r="A231" s="2" t="s">
        <v>642</v>
      </c>
      <c r="B231" s="2" t="s">
        <v>709</v>
      </c>
      <c r="C231" s="2" t="s">
        <v>723</v>
      </c>
      <c r="D231" s="2" t="s">
        <v>6</v>
      </c>
      <c r="E231" s="2" t="s">
        <v>29</v>
      </c>
      <c r="F231" s="2" t="s">
        <v>355</v>
      </c>
      <c r="G231" s="2">
        <v>1</v>
      </c>
      <c r="H231" s="2">
        <f>VALUE(
 IF(RIGHT(F231,1)="k",
    LEFT(F231,LEN(F231)-1)*1000,
    SUBSTITUTE(SUBSTITUTE(F231,"đ",""),".","")
 )
)</f>
        <v>55000</v>
      </c>
      <c r="I231" s="2">
        <f t="shared" si="9"/>
        <v>55000</v>
      </c>
      <c r="J231" s="4">
        <v>45651</v>
      </c>
      <c r="K231" s="2" t="s">
        <v>267</v>
      </c>
      <c r="L231" s="2" t="str">
        <f t="shared" si="10"/>
        <v>Chieu</v>
      </c>
      <c r="M231" s="2">
        <f t="shared" si="11"/>
        <v>14</v>
      </c>
    </row>
    <row r="232" spans="1:13" ht="15.75" customHeight="1" x14ac:dyDescent="0.25">
      <c r="A232" s="2" t="s">
        <v>643</v>
      </c>
      <c r="B232" s="2" t="s">
        <v>708</v>
      </c>
      <c r="C232" s="2" t="s">
        <v>721</v>
      </c>
      <c r="D232" s="2" t="s">
        <v>9</v>
      </c>
      <c r="E232" s="2" t="s">
        <v>76</v>
      </c>
      <c r="F232" s="2" t="s">
        <v>43</v>
      </c>
      <c r="G232" s="2">
        <v>2</v>
      </c>
      <c r="H232" s="2">
        <f>VALUE(
 IF(RIGHT(F232,1)="k",
    LEFT(F232,LEN(F232)-1)*1000,
    SUBSTITUTE(SUBSTITUTE(F232,"đ",""),".","")
 )
)</f>
        <v>50000</v>
      </c>
      <c r="I232" s="2">
        <f t="shared" si="9"/>
        <v>100000</v>
      </c>
      <c r="J232" s="4">
        <v>45608</v>
      </c>
      <c r="K232" s="2" t="s">
        <v>356</v>
      </c>
      <c r="L232" s="2" t="str">
        <f t="shared" si="10"/>
        <v>Trua</v>
      </c>
      <c r="M232" s="2">
        <f t="shared" si="11"/>
        <v>11</v>
      </c>
    </row>
    <row r="233" spans="1:13" ht="15.75" customHeight="1" x14ac:dyDescent="0.25">
      <c r="A233" s="2" t="s">
        <v>644</v>
      </c>
      <c r="B233" s="2" t="s">
        <v>708</v>
      </c>
      <c r="C233" s="2" t="s">
        <v>712</v>
      </c>
      <c r="D233" s="2" t="s">
        <v>220</v>
      </c>
      <c r="E233" s="2" t="s">
        <v>29</v>
      </c>
      <c r="F233" s="2" t="s">
        <v>357</v>
      </c>
      <c r="G233" s="2">
        <v>2</v>
      </c>
      <c r="H233" s="2">
        <f>VALUE(
 IF(RIGHT(F233,1)="k",
    LEFT(F233,LEN(F233)-1)*1000,
    SUBSTITUTE(SUBSTITUTE(F233,"đ",""),".","")
 )
)</f>
        <v>60000</v>
      </c>
      <c r="I233" s="2">
        <f t="shared" si="9"/>
        <v>120000</v>
      </c>
      <c r="J233" s="4">
        <v>45516</v>
      </c>
      <c r="K233" s="2" t="s">
        <v>322</v>
      </c>
      <c r="L233" s="2" t="str">
        <f t="shared" si="10"/>
        <v>Toi</v>
      </c>
      <c r="M233" s="2">
        <f t="shared" si="11"/>
        <v>17</v>
      </c>
    </row>
    <row r="234" spans="1:13" ht="15.75" customHeight="1" x14ac:dyDescent="0.25">
      <c r="A234" s="2" t="s">
        <v>645</v>
      </c>
      <c r="B234" s="2" t="s">
        <v>705</v>
      </c>
      <c r="C234" s="2" t="s">
        <v>716</v>
      </c>
      <c r="D234" s="2" t="s">
        <v>64</v>
      </c>
      <c r="E234" s="2" t="s">
        <v>29</v>
      </c>
      <c r="F234" s="2" t="s">
        <v>211</v>
      </c>
      <c r="G234" s="2">
        <v>2</v>
      </c>
      <c r="H234" s="2">
        <f>VALUE(
 IF(RIGHT(F234,1)="k",
    LEFT(F234,LEN(F234)-1)*1000,
    SUBSTITUTE(SUBSTITUTE(F234,"đ",""),".","")
 )
)</f>
        <v>47000</v>
      </c>
      <c r="I234" s="2">
        <f t="shared" si="9"/>
        <v>94000</v>
      </c>
      <c r="J234" s="4">
        <v>45424</v>
      </c>
      <c r="K234" s="2" t="s">
        <v>256</v>
      </c>
      <c r="L234" s="2" t="str">
        <f t="shared" si="10"/>
        <v>Toi</v>
      </c>
      <c r="M234" s="2">
        <f t="shared" si="11"/>
        <v>17</v>
      </c>
    </row>
    <row r="235" spans="1:13" ht="15.75" customHeight="1" x14ac:dyDescent="0.25">
      <c r="A235" s="2" t="s">
        <v>646</v>
      </c>
      <c r="B235" s="2" t="s">
        <v>707</v>
      </c>
      <c r="C235" s="2" t="s">
        <v>712</v>
      </c>
      <c r="D235" s="2" t="s">
        <v>79</v>
      </c>
      <c r="E235" s="2" t="s">
        <v>29</v>
      </c>
      <c r="F235" s="2" t="s">
        <v>358</v>
      </c>
      <c r="G235" s="2">
        <v>3</v>
      </c>
      <c r="H235" s="2">
        <f>VALUE(
 IF(RIGHT(F235,1)="k",
    LEFT(F235,LEN(F235)-1)*1000,
    SUBSTITUTE(SUBSTITUTE(F235,"đ",""),".","")
 )
)</f>
        <v>56000</v>
      </c>
      <c r="I235" s="2">
        <f t="shared" si="9"/>
        <v>168000</v>
      </c>
      <c r="J235" s="4">
        <v>45640</v>
      </c>
      <c r="K235" s="2" t="s">
        <v>359</v>
      </c>
      <c r="L235" s="2" t="str">
        <f t="shared" si="10"/>
        <v>Sang</v>
      </c>
      <c r="M235" s="2">
        <f t="shared" si="11"/>
        <v>9</v>
      </c>
    </row>
    <row r="236" spans="1:13" ht="15.75" customHeight="1" x14ac:dyDescent="0.25">
      <c r="A236" s="2" t="s">
        <v>647</v>
      </c>
      <c r="B236" s="2" t="s">
        <v>708</v>
      </c>
      <c r="C236" s="2" t="s">
        <v>711</v>
      </c>
      <c r="D236" s="2" t="s">
        <v>56</v>
      </c>
      <c r="E236" s="2" t="s">
        <v>29</v>
      </c>
      <c r="F236" s="2" t="s">
        <v>100</v>
      </c>
      <c r="G236" s="2">
        <v>2</v>
      </c>
      <c r="H236" s="2">
        <f>VALUE(
 IF(RIGHT(F236,1)="k",
    LEFT(F236,LEN(F236)-1)*1000,
    SUBSTITUTE(SUBSTITUTE(F236,"đ",""),".","")
 )
)</f>
        <v>35000</v>
      </c>
      <c r="I236" s="2">
        <f t="shared" si="9"/>
        <v>70000</v>
      </c>
      <c r="J236" s="4">
        <v>45653</v>
      </c>
      <c r="K236" s="2" t="s">
        <v>360</v>
      </c>
      <c r="L236" s="2" t="str">
        <f t="shared" si="10"/>
        <v>Toi</v>
      </c>
      <c r="M236" s="2">
        <f t="shared" si="11"/>
        <v>17</v>
      </c>
    </row>
    <row r="237" spans="1:13" ht="15.75" customHeight="1" x14ac:dyDescent="0.25">
      <c r="A237" s="2" t="s">
        <v>648</v>
      </c>
      <c r="B237" s="2" t="s">
        <v>706</v>
      </c>
      <c r="C237" s="2" t="s">
        <v>719</v>
      </c>
      <c r="D237" s="2" t="s">
        <v>58</v>
      </c>
      <c r="E237" s="2" t="s">
        <v>22</v>
      </c>
      <c r="F237" s="2" t="s">
        <v>80</v>
      </c>
      <c r="G237" s="2">
        <v>1</v>
      </c>
      <c r="H237" s="2">
        <f>VALUE(
 IF(RIGHT(F237,1)="k",
    LEFT(F237,LEN(F237)-1)*1000,
    SUBSTITUTE(SUBSTITUTE(F237,"đ",""),".","")
 )
)</f>
        <v>57000</v>
      </c>
      <c r="I237" s="2">
        <f t="shared" si="9"/>
        <v>57000</v>
      </c>
      <c r="J237" s="4">
        <v>45547</v>
      </c>
      <c r="K237" s="2" t="s">
        <v>361</v>
      </c>
      <c r="L237" s="2" t="str">
        <f t="shared" si="10"/>
        <v>Toi</v>
      </c>
      <c r="M237" s="2">
        <f t="shared" si="11"/>
        <v>17</v>
      </c>
    </row>
    <row r="238" spans="1:13" ht="15.75" customHeight="1" x14ac:dyDescent="0.25">
      <c r="A238" s="2" t="s">
        <v>649</v>
      </c>
      <c r="B238" s="2" t="s">
        <v>709</v>
      </c>
      <c r="C238" s="2" t="s">
        <v>711</v>
      </c>
      <c r="D238" s="2" t="s">
        <v>6</v>
      </c>
      <c r="E238" s="2" t="s">
        <v>29</v>
      </c>
      <c r="F238" s="2" t="s">
        <v>355</v>
      </c>
      <c r="G238" s="2">
        <v>1</v>
      </c>
      <c r="H238" s="2">
        <f>VALUE(
 IF(RIGHT(F238,1)="k",
    LEFT(F238,LEN(F238)-1)*1000,
    SUBSTITUTE(SUBSTITUTE(F238,"đ",""),".","")
 )
)</f>
        <v>55000</v>
      </c>
      <c r="I238" s="2">
        <f t="shared" si="9"/>
        <v>55000</v>
      </c>
      <c r="J238" s="4">
        <v>45630</v>
      </c>
      <c r="K238" s="2" t="s">
        <v>237</v>
      </c>
      <c r="L238" s="2" t="str">
        <f t="shared" si="10"/>
        <v>Trua</v>
      </c>
      <c r="M238" s="2">
        <f t="shared" si="11"/>
        <v>12</v>
      </c>
    </row>
    <row r="239" spans="1:13" ht="15.75" customHeight="1" x14ac:dyDescent="0.25">
      <c r="A239" s="2" t="s">
        <v>650</v>
      </c>
      <c r="B239" s="2" t="s">
        <v>706</v>
      </c>
      <c r="C239" s="2" t="s">
        <v>714</v>
      </c>
      <c r="D239" s="2" t="s">
        <v>79</v>
      </c>
      <c r="E239" s="2" t="s">
        <v>29</v>
      </c>
      <c r="F239" s="2" t="s">
        <v>65</v>
      </c>
      <c r="G239" s="2">
        <v>2</v>
      </c>
      <c r="H239" s="2">
        <f>VALUE(
 IF(RIGHT(F239,1)="k",
    LEFT(F239,LEN(F239)-1)*1000,
    SUBSTITUTE(SUBSTITUTE(F239,"đ",""),".","")
 )
)</f>
        <v>52000</v>
      </c>
      <c r="I239" s="2">
        <f t="shared" si="9"/>
        <v>104000</v>
      </c>
      <c r="J239" s="4">
        <v>45646</v>
      </c>
      <c r="K239" s="2" t="s">
        <v>362</v>
      </c>
      <c r="L239" s="2" t="str">
        <f t="shared" si="10"/>
        <v>Trua</v>
      </c>
      <c r="M239" s="2">
        <f t="shared" si="11"/>
        <v>13</v>
      </c>
    </row>
    <row r="240" spans="1:13" ht="15.75" customHeight="1" x14ac:dyDescent="0.25">
      <c r="A240" s="2" t="s">
        <v>651</v>
      </c>
      <c r="B240" s="2" t="s">
        <v>708</v>
      </c>
      <c r="C240" s="2" t="s">
        <v>724</v>
      </c>
      <c r="D240" s="2" t="s">
        <v>220</v>
      </c>
      <c r="E240" s="2" t="s">
        <v>29</v>
      </c>
      <c r="F240" s="2" t="s">
        <v>363</v>
      </c>
      <c r="G240" s="2">
        <v>2</v>
      </c>
      <c r="H240" s="2">
        <f>VALUE(
 IF(RIGHT(F240,1)="k",
    LEFT(F240,LEN(F240)-1)*1000,
    SUBSTITUTE(SUBSTITUTE(F240,"đ",""),".","")
 )
)</f>
        <v>61228</v>
      </c>
      <c r="I240" s="2">
        <f t="shared" si="9"/>
        <v>122456</v>
      </c>
      <c r="J240" s="4">
        <v>45653</v>
      </c>
      <c r="K240" s="2" t="s">
        <v>353</v>
      </c>
      <c r="L240" s="2" t="str">
        <f t="shared" si="10"/>
        <v>Chieu</v>
      </c>
      <c r="M240" s="2">
        <f t="shared" si="11"/>
        <v>14</v>
      </c>
    </row>
    <row r="241" spans="1:13" ht="15.75" customHeight="1" x14ac:dyDescent="0.25">
      <c r="A241" s="2" t="s">
        <v>652</v>
      </c>
      <c r="B241" s="2" t="s">
        <v>707</v>
      </c>
      <c r="C241" s="2" t="s">
        <v>715</v>
      </c>
      <c r="D241" s="2" t="s">
        <v>220</v>
      </c>
      <c r="E241" s="2" t="s">
        <v>29</v>
      </c>
      <c r="F241" s="2" t="s">
        <v>364</v>
      </c>
      <c r="G241" s="2">
        <v>1</v>
      </c>
      <c r="H241" s="2">
        <f>VALUE(
 IF(RIGHT(F241,1)="k",
    LEFT(F241,LEN(F241)-1)*1000,
    SUBSTITUTE(SUBSTITUTE(F241,"đ",""),".","")
 )
)</f>
        <v>61000</v>
      </c>
      <c r="I241" s="2">
        <f t="shared" si="9"/>
        <v>61000</v>
      </c>
      <c r="J241" s="4">
        <v>45640</v>
      </c>
      <c r="K241" s="2" t="s">
        <v>365</v>
      </c>
      <c r="L241" s="2" t="str">
        <f t="shared" si="10"/>
        <v>Chieu</v>
      </c>
      <c r="M241" s="2">
        <f t="shared" si="11"/>
        <v>14</v>
      </c>
    </row>
    <row r="242" spans="1:13" ht="15.75" customHeight="1" x14ac:dyDescent="0.25">
      <c r="A242" s="2" t="s">
        <v>653</v>
      </c>
      <c r="B242" s="2" t="s">
        <v>707</v>
      </c>
      <c r="C242" s="2" t="s">
        <v>715</v>
      </c>
      <c r="D242" s="2" t="s">
        <v>50</v>
      </c>
      <c r="E242" s="2" t="s">
        <v>22</v>
      </c>
      <c r="F242" s="2" t="s">
        <v>161</v>
      </c>
      <c r="G242" s="2">
        <v>2</v>
      </c>
      <c r="H242" s="2">
        <f>VALUE(
 IF(RIGHT(F242,1)="k",
    LEFT(F242,LEN(F242)-1)*1000,
    SUBSTITUTE(SUBSTITUTE(F242,"đ",""),".","")
 )
)</f>
        <v>44000</v>
      </c>
      <c r="I242" s="2">
        <f t="shared" si="9"/>
        <v>88000</v>
      </c>
      <c r="J242" s="4">
        <v>45630</v>
      </c>
      <c r="K242" s="2" t="s">
        <v>174</v>
      </c>
      <c r="L242" s="2" t="str">
        <f t="shared" si="10"/>
        <v>Chieu</v>
      </c>
      <c r="M242" s="2">
        <f t="shared" si="11"/>
        <v>16</v>
      </c>
    </row>
    <row r="243" spans="1:13" ht="15.75" customHeight="1" x14ac:dyDescent="0.25">
      <c r="A243" s="2" t="s">
        <v>654</v>
      </c>
      <c r="B243" s="2" t="s">
        <v>707</v>
      </c>
      <c r="C243" s="2" t="s">
        <v>722</v>
      </c>
      <c r="D243" s="2" t="s">
        <v>58</v>
      </c>
      <c r="E243" s="2" t="s">
        <v>22</v>
      </c>
      <c r="F243" s="2" t="s">
        <v>307</v>
      </c>
      <c r="G243" s="2">
        <v>3</v>
      </c>
      <c r="H243" s="2">
        <f>VALUE(
 IF(RIGHT(F243,1)="k",
    LEFT(F243,LEN(F243)-1)*1000,
    SUBSTITUTE(SUBSTITUTE(F243,"đ",""),".","")
 )
)</f>
        <v>52000</v>
      </c>
      <c r="I243" s="2">
        <f t="shared" si="9"/>
        <v>156000</v>
      </c>
      <c r="J243" s="4">
        <v>45639</v>
      </c>
      <c r="K243" s="2" t="s">
        <v>366</v>
      </c>
      <c r="L243" s="2" t="str">
        <f t="shared" si="10"/>
        <v>Sang</v>
      </c>
      <c r="M243" s="2">
        <f t="shared" si="11"/>
        <v>10</v>
      </c>
    </row>
    <row r="244" spans="1:13" ht="15.75" customHeight="1" x14ac:dyDescent="0.25">
      <c r="A244" s="2" t="s">
        <v>655</v>
      </c>
      <c r="B244" s="2" t="s">
        <v>706</v>
      </c>
      <c r="C244" s="2" t="s">
        <v>714</v>
      </c>
      <c r="D244" s="2" t="s">
        <v>37</v>
      </c>
      <c r="E244" s="2" t="s">
        <v>29</v>
      </c>
      <c r="F244" s="2" t="s">
        <v>140</v>
      </c>
      <c r="G244" s="2">
        <v>1</v>
      </c>
      <c r="H244" s="2">
        <f>VALUE(
 IF(RIGHT(F244,1)="k",
    LEFT(F244,LEN(F244)-1)*1000,
    SUBSTITUTE(SUBSTITUTE(F244,"đ",""),".","")
 )
)</f>
        <v>41000</v>
      </c>
      <c r="I244" s="2">
        <f t="shared" si="9"/>
        <v>41000</v>
      </c>
      <c r="J244" s="4">
        <v>45632</v>
      </c>
      <c r="K244" s="2" t="s">
        <v>367</v>
      </c>
      <c r="L244" s="2" t="str">
        <f t="shared" si="10"/>
        <v>Chieu</v>
      </c>
      <c r="M244" s="2">
        <f t="shared" si="11"/>
        <v>14</v>
      </c>
    </row>
    <row r="245" spans="1:13" ht="15.75" customHeight="1" x14ac:dyDescent="0.25">
      <c r="A245" s="2" t="s">
        <v>656</v>
      </c>
      <c r="B245" s="2" t="s">
        <v>708</v>
      </c>
      <c r="C245" s="2" t="s">
        <v>712</v>
      </c>
      <c r="D245" s="2" t="s">
        <v>115</v>
      </c>
      <c r="E245" s="2" t="s">
        <v>29</v>
      </c>
      <c r="F245" s="2" t="s">
        <v>240</v>
      </c>
      <c r="G245" s="2">
        <v>1</v>
      </c>
      <c r="H245" s="2">
        <f>VALUE(
 IF(RIGHT(F245,1)="k",
    LEFT(F245,LEN(F245)-1)*1000,
    SUBSTITUTE(SUBSTITUTE(F245,"đ",""),".","")
 )
)</f>
        <v>51000</v>
      </c>
      <c r="I245" s="2">
        <f t="shared" si="9"/>
        <v>51000</v>
      </c>
      <c r="J245" s="4">
        <v>45547</v>
      </c>
      <c r="K245" s="2" t="s">
        <v>368</v>
      </c>
      <c r="L245" s="2" t="str">
        <f t="shared" si="10"/>
        <v>Sang</v>
      </c>
      <c r="M245" s="2">
        <f t="shared" si="11"/>
        <v>7</v>
      </c>
    </row>
    <row r="246" spans="1:13" ht="15.75" customHeight="1" x14ac:dyDescent="0.25">
      <c r="A246" s="2" t="s">
        <v>657</v>
      </c>
      <c r="B246" s="2" t="s">
        <v>709</v>
      </c>
      <c r="C246" s="2" t="s">
        <v>711</v>
      </c>
      <c r="D246" s="2" t="s">
        <v>21</v>
      </c>
      <c r="E246" s="2" t="s">
        <v>22</v>
      </c>
      <c r="F246" s="2" t="s">
        <v>118</v>
      </c>
      <c r="G246" s="2">
        <v>2</v>
      </c>
      <c r="H246" s="2">
        <f>VALUE(
 IF(RIGHT(F246,1)="k",
    LEFT(F246,LEN(F246)-1)*1000,
    SUBSTITUTE(SUBSTITUTE(F246,"đ",""),".","")
 )
)</f>
        <v>40000</v>
      </c>
      <c r="I246" s="2">
        <f t="shared" si="9"/>
        <v>80000</v>
      </c>
      <c r="J246" s="4">
        <v>45638</v>
      </c>
      <c r="K246" s="2" t="s">
        <v>369</v>
      </c>
      <c r="L246" s="2" t="str">
        <f t="shared" si="10"/>
        <v>Trua</v>
      </c>
      <c r="M246" s="2">
        <f t="shared" si="11"/>
        <v>12</v>
      </c>
    </row>
    <row r="247" spans="1:13" ht="15.75" customHeight="1" x14ac:dyDescent="0.25">
      <c r="A247" s="2" t="s">
        <v>658</v>
      </c>
      <c r="B247" s="2" t="s">
        <v>707</v>
      </c>
      <c r="C247" s="2" t="s">
        <v>721</v>
      </c>
      <c r="D247" s="2" t="s">
        <v>9</v>
      </c>
      <c r="E247" s="2" t="s">
        <v>76</v>
      </c>
      <c r="F247" s="2" t="s">
        <v>149</v>
      </c>
      <c r="G247" s="2">
        <v>2</v>
      </c>
      <c r="H247" s="2">
        <f>VALUE(
 IF(RIGHT(F247,1)="k",
    LEFT(F247,LEN(F247)-1)*1000,
    SUBSTITUTE(SUBSTITUTE(F247,"đ",""),".","")
 )
)</f>
        <v>48000</v>
      </c>
      <c r="I247" s="2">
        <f t="shared" si="9"/>
        <v>96000</v>
      </c>
      <c r="J247" s="4">
        <v>45653</v>
      </c>
      <c r="K247" s="2" t="s">
        <v>150</v>
      </c>
      <c r="L247" s="2" t="str">
        <f t="shared" si="10"/>
        <v>Toi</v>
      </c>
      <c r="M247" s="2">
        <f t="shared" si="11"/>
        <v>18</v>
      </c>
    </row>
    <row r="248" spans="1:13" ht="15.75" customHeight="1" x14ac:dyDescent="0.25">
      <c r="A248" s="2" t="s">
        <v>659</v>
      </c>
      <c r="B248" s="2" t="s">
        <v>709</v>
      </c>
      <c r="C248" s="2" t="s">
        <v>712</v>
      </c>
      <c r="D248" s="2" t="s">
        <v>9</v>
      </c>
      <c r="E248" s="2" t="s">
        <v>76</v>
      </c>
      <c r="F248" s="2" t="s">
        <v>370</v>
      </c>
      <c r="G248" s="2">
        <v>1</v>
      </c>
      <c r="H248" s="2">
        <f>VALUE(
 IF(RIGHT(F248,1)="k",
    LEFT(F248,LEN(F248)-1)*1000,
    SUBSTITUTE(SUBSTITUTE(F248,"đ",""),".","")
 )
)</f>
        <v>47906</v>
      </c>
      <c r="I248" s="2">
        <f t="shared" si="9"/>
        <v>47906</v>
      </c>
      <c r="J248" s="4">
        <v>45641</v>
      </c>
      <c r="K248" s="2" t="s">
        <v>371</v>
      </c>
      <c r="L248" s="2" t="str">
        <f t="shared" si="10"/>
        <v>Trua</v>
      </c>
      <c r="M248" s="2">
        <f t="shared" si="11"/>
        <v>12</v>
      </c>
    </row>
    <row r="249" spans="1:13" ht="15.75" customHeight="1" x14ac:dyDescent="0.25">
      <c r="A249" s="2" t="s">
        <v>585</v>
      </c>
      <c r="B249" s="2" t="s">
        <v>708</v>
      </c>
      <c r="C249" s="2" t="s">
        <v>713</v>
      </c>
      <c r="D249" s="2" t="s">
        <v>115</v>
      </c>
      <c r="E249" s="2" t="s">
        <v>29</v>
      </c>
      <c r="F249" s="2" t="s">
        <v>286</v>
      </c>
      <c r="G249" s="2">
        <v>1</v>
      </c>
      <c r="H249" s="2">
        <f>VALUE(
 IF(RIGHT(F249,1)="k",
    LEFT(F249,LEN(F249)-1)*1000,
    SUBSTITUTE(SUBSTITUTE(F249,"đ",""),".","")
 )
)</f>
        <v>48000</v>
      </c>
      <c r="I249" s="2">
        <f t="shared" si="9"/>
        <v>48000</v>
      </c>
      <c r="J249" s="4">
        <v>45649</v>
      </c>
      <c r="K249" s="2" t="s">
        <v>287</v>
      </c>
      <c r="L249" s="2" t="str">
        <f t="shared" si="10"/>
        <v>Toi</v>
      </c>
      <c r="M249" s="2">
        <f t="shared" si="11"/>
        <v>17</v>
      </c>
    </row>
    <row r="250" spans="1:13" ht="15.75" customHeight="1" x14ac:dyDescent="0.25">
      <c r="A250" s="2" t="s">
        <v>566</v>
      </c>
      <c r="B250" s="2" t="s">
        <v>708</v>
      </c>
      <c r="C250" s="2" t="s">
        <v>710</v>
      </c>
      <c r="D250" s="2" t="s">
        <v>50</v>
      </c>
      <c r="E250" s="2" t="s">
        <v>22</v>
      </c>
      <c r="F250" s="2" t="s">
        <v>263</v>
      </c>
      <c r="G250" s="2">
        <v>1</v>
      </c>
      <c r="H250" s="2">
        <f>VALUE(
 IF(RIGHT(F250,1)="k",
    LEFT(F250,LEN(F250)-1)*1000,
    SUBSTITUTE(SUBSTITUTE(F250,"đ",""),".","")
 )
)</f>
        <v>45118</v>
      </c>
      <c r="I250" s="2">
        <f t="shared" si="9"/>
        <v>45118</v>
      </c>
      <c r="J250" s="4">
        <v>45650</v>
      </c>
      <c r="K250" s="2" t="s">
        <v>246</v>
      </c>
      <c r="L250" s="2" t="str">
        <f t="shared" si="10"/>
        <v>Trua</v>
      </c>
      <c r="M250" s="2">
        <f t="shared" si="11"/>
        <v>12</v>
      </c>
    </row>
    <row r="251" spans="1:13" ht="15.75" customHeight="1" x14ac:dyDescent="0.25">
      <c r="A251" s="2" t="s">
        <v>660</v>
      </c>
      <c r="B251" s="2" t="s">
        <v>705</v>
      </c>
      <c r="C251" s="2" t="s">
        <v>724</v>
      </c>
      <c r="D251" s="2" t="s">
        <v>37</v>
      </c>
      <c r="E251" s="2" t="s">
        <v>29</v>
      </c>
      <c r="F251" s="2" t="s">
        <v>118</v>
      </c>
      <c r="G251" s="2">
        <v>2</v>
      </c>
      <c r="H251" s="2">
        <f>VALUE(
 IF(RIGHT(F251,1)="k",
    LEFT(F251,LEN(F251)-1)*1000,
    SUBSTITUTE(SUBSTITUTE(F251,"đ",""),".","")
 )
)</f>
        <v>40000</v>
      </c>
      <c r="I251" s="2">
        <f t="shared" si="9"/>
        <v>80000</v>
      </c>
      <c r="J251" s="4">
        <v>45637</v>
      </c>
      <c r="K251" s="2" t="s">
        <v>372</v>
      </c>
      <c r="L251" s="2" t="str">
        <f t="shared" si="10"/>
        <v>Trua</v>
      </c>
      <c r="M251" s="2">
        <f t="shared" si="11"/>
        <v>12</v>
      </c>
    </row>
    <row r="252" spans="1:13" ht="15.75" customHeight="1" x14ac:dyDescent="0.25">
      <c r="A252" s="2" t="s">
        <v>661</v>
      </c>
      <c r="B252" s="2" t="s">
        <v>708</v>
      </c>
      <c r="C252" s="2" t="s">
        <v>716</v>
      </c>
      <c r="D252" s="2" t="s">
        <v>124</v>
      </c>
      <c r="E252" s="2" t="s">
        <v>22</v>
      </c>
      <c r="F252" s="2" t="s">
        <v>30</v>
      </c>
      <c r="G252" s="2">
        <v>2</v>
      </c>
      <c r="H252" s="2">
        <f>VALUE(
 IF(RIGHT(F252,1)="k",
    LEFT(F252,LEN(F252)-1)*1000,
    SUBSTITUTE(SUBSTITUTE(F252,"đ",""),".","")
 )
)</f>
        <v>35000</v>
      </c>
      <c r="I252" s="2">
        <f t="shared" si="9"/>
        <v>70000</v>
      </c>
      <c r="J252" s="4">
        <v>45643</v>
      </c>
      <c r="K252" s="2" t="s">
        <v>373</v>
      </c>
      <c r="L252" s="2" t="str">
        <f t="shared" si="10"/>
        <v>Trua</v>
      </c>
      <c r="M252" s="2">
        <f t="shared" si="11"/>
        <v>12</v>
      </c>
    </row>
    <row r="253" spans="1:13" ht="15.75" customHeight="1" x14ac:dyDescent="0.25">
      <c r="A253" s="2" t="s">
        <v>662</v>
      </c>
      <c r="B253" s="2" t="s">
        <v>707</v>
      </c>
      <c r="C253" s="2" t="s">
        <v>716</v>
      </c>
      <c r="D253" s="2" t="s">
        <v>28</v>
      </c>
      <c r="E253" s="2" t="s">
        <v>29</v>
      </c>
      <c r="F253" s="2" t="s">
        <v>15</v>
      </c>
      <c r="G253" s="2">
        <v>2</v>
      </c>
      <c r="H253" s="2">
        <f>VALUE(
 IF(RIGHT(F253,1)="k",
    LEFT(F253,LEN(F253)-1)*1000,
    SUBSTITUTE(SUBSTITUTE(F253,"đ",""),".","")
 )
)</f>
        <v>33000</v>
      </c>
      <c r="I253" s="2">
        <f t="shared" si="9"/>
        <v>66000</v>
      </c>
      <c r="J253" s="4">
        <v>45629</v>
      </c>
      <c r="K253" s="2" t="s">
        <v>374</v>
      </c>
      <c r="L253" s="2" t="str">
        <f t="shared" si="10"/>
        <v>Toi</v>
      </c>
      <c r="M253" s="2">
        <f t="shared" si="11"/>
        <v>18</v>
      </c>
    </row>
    <row r="254" spans="1:13" ht="15.75" customHeight="1" x14ac:dyDescent="0.25">
      <c r="A254" s="2" t="s">
        <v>615</v>
      </c>
      <c r="B254" s="2" t="s">
        <v>706</v>
      </c>
      <c r="C254" s="2" t="s">
        <v>715</v>
      </c>
      <c r="D254" s="2" t="s">
        <v>61</v>
      </c>
      <c r="E254" s="2" t="s">
        <v>76</v>
      </c>
      <c r="F254" s="2" t="s">
        <v>240</v>
      </c>
      <c r="G254" s="2">
        <v>1</v>
      </c>
      <c r="H254" s="2">
        <f>VALUE(
 IF(RIGHT(F254,1)="k",
    LEFT(F254,LEN(F254)-1)*1000,
    SUBSTITUTE(SUBSTITUTE(F254,"đ",""),".","")
 )
)</f>
        <v>51000</v>
      </c>
      <c r="I254" s="2">
        <f t="shared" si="9"/>
        <v>51000</v>
      </c>
      <c r="J254" s="4">
        <v>45651</v>
      </c>
      <c r="K254" s="2" t="s">
        <v>323</v>
      </c>
      <c r="L254" s="2" t="str">
        <f t="shared" si="10"/>
        <v>Trua</v>
      </c>
      <c r="M254" s="2">
        <f t="shared" si="11"/>
        <v>11</v>
      </c>
    </row>
    <row r="255" spans="1:13" ht="15.75" customHeight="1" x14ac:dyDescent="0.25">
      <c r="A255" s="2" t="s">
        <v>663</v>
      </c>
      <c r="B255" s="2" t="s">
        <v>707</v>
      </c>
      <c r="C255" s="2" t="s">
        <v>720</v>
      </c>
      <c r="D255" s="2" t="s">
        <v>115</v>
      </c>
      <c r="E255" s="2" t="s">
        <v>29</v>
      </c>
      <c r="F255" s="2" t="s">
        <v>43</v>
      </c>
      <c r="G255" s="2">
        <v>1</v>
      </c>
      <c r="H255" s="2">
        <f>VALUE(
 IF(RIGHT(F255,1)="k",
    LEFT(F255,LEN(F255)-1)*1000,
    SUBSTITUTE(SUBSTITUTE(F255,"đ",""),".","")
 )
)</f>
        <v>50000</v>
      </c>
      <c r="I255" s="2">
        <f t="shared" si="9"/>
        <v>50000</v>
      </c>
      <c r="J255" s="4">
        <v>45647</v>
      </c>
      <c r="K255" s="2" t="s">
        <v>154</v>
      </c>
      <c r="L255" s="2" t="str">
        <f t="shared" si="10"/>
        <v>Sang</v>
      </c>
      <c r="M255" s="2">
        <f t="shared" si="11"/>
        <v>10</v>
      </c>
    </row>
    <row r="256" spans="1:13" ht="15.75" customHeight="1" x14ac:dyDescent="0.25">
      <c r="A256" s="2" t="s">
        <v>664</v>
      </c>
      <c r="B256" s="2" t="s">
        <v>706</v>
      </c>
      <c r="C256" s="2" t="s">
        <v>718</v>
      </c>
      <c r="D256" s="2" t="s">
        <v>124</v>
      </c>
      <c r="E256" s="2" t="s">
        <v>22</v>
      </c>
      <c r="F256" s="2" t="s">
        <v>35</v>
      </c>
      <c r="G256" s="2">
        <v>2</v>
      </c>
      <c r="H256" s="2">
        <f>VALUE(
 IF(RIGHT(F256,1)="k",
    LEFT(F256,LEN(F256)-1)*1000,
    SUBSTITUTE(SUBSTITUTE(F256,"đ",""),".","")
 )
)</f>
        <v>35000</v>
      </c>
      <c r="I256" s="2">
        <f t="shared" si="9"/>
        <v>70000</v>
      </c>
      <c r="J256" s="4">
        <v>45646</v>
      </c>
      <c r="K256" s="2" t="s">
        <v>375</v>
      </c>
      <c r="L256" s="2" t="str">
        <f t="shared" si="10"/>
        <v>Trua</v>
      </c>
      <c r="M256" s="2">
        <f t="shared" si="11"/>
        <v>13</v>
      </c>
    </row>
    <row r="257" spans="1:13" ht="15.75" customHeight="1" x14ac:dyDescent="0.25">
      <c r="A257" s="2" t="s">
        <v>665</v>
      </c>
      <c r="B257" s="2" t="s">
        <v>708</v>
      </c>
      <c r="C257" s="2" t="s">
        <v>716</v>
      </c>
      <c r="D257" s="2" t="s">
        <v>79</v>
      </c>
      <c r="E257" s="2" t="s">
        <v>29</v>
      </c>
      <c r="F257" s="2" t="s">
        <v>258</v>
      </c>
      <c r="G257" s="2">
        <v>3</v>
      </c>
      <c r="H257" s="2">
        <f>VALUE(
 IF(RIGHT(F257,1)="k",
    LEFT(F257,LEN(F257)-1)*1000,
    SUBSTITUTE(SUBSTITUTE(F257,"đ",""),".","")
 )
)</f>
        <v>55000</v>
      </c>
      <c r="I257" s="2">
        <f t="shared" si="9"/>
        <v>165000</v>
      </c>
      <c r="J257" s="4">
        <v>45636</v>
      </c>
      <c r="K257" s="2" t="s">
        <v>376</v>
      </c>
      <c r="L257" s="2" t="str">
        <f t="shared" si="10"/>
        <v>Sang</v>
      </c>
      <c r="M257" s="2">
        <f t="shared" si="11"/>
        <v>10</v>
      </c>
    </row>
    <row r="258" spans="1:13" ht="15.75" customHeight="1" x14ac:dyDescent="0.25">
      <c r="A258" s="2" t="s">
        <v>666</v>
      </c>
      <c r="B258" s="2" t="s">
        <v>705</v>
      </c>
      <c r="C258" s="2" t="s">
        <v>722</v>
      </c>
      <c r="D258" s="2" t="s">
        <v>79</v>
      </c>
      <c r="E258" s="2" t="s">
        <v>29</v>
      </c>
      <c r="F258" s="2" t="s">
        <v>377</v>
      </c>
      <c r="G258" s="2">
        <v>1</v>
      </c>
      <c r="H258" s="2">
        <f>VALUE(
 IF(RIGHT(F258,1)="k",
    LEFT(F258,LEN(F258)-1)*1000,
    SUBSTITUTE(SUBSTITUTE(F258,"đ",""),".","")
 )
)</f>
        <v>53000</v>
      </c>
      <c r="I258" s="2">
        <f t="shared" ref="I258:I321" si="12">(G258)*(H258)</f>
        <v>53000</v>
      </c>
      <c r="J258" s="4">
        <v>45650</v>
      </c>
      <c r="K258" s="2" t="s">
        <v>378</v>
      </c>
      <c r="L258" s="2" t="str">
        <f t="shared" ref="L258:L321" si="13">IF(M258&lt;11,"Sang",
 IF(M258&lt;14,"Trua",
 IF(M258&lt;17,"Chieu","Toi")))</f>
        <v>Trua</v>
      </c>
      <c r="M258" s="2">
        <f t="shared" ref="M258:M321" si="14">HOUR(K258)</f>
        <v>11</v>
      </c>
    </row>
    <row r="259" spans="1:13" ht="15.75" customHeight="1" x14ac:dyDescent="0.25">
      <c r="A259" s="2" t="s">
        <v>667</v>
      </c>
      <c r="B259" s="2" t="s">
        <v>708</v>
      </c>
      <c r="C259" s="2" t="s">
        <v>710</v>
      </c>
      <c r="D259" s="2" t="s">
        <v>50</v>
      </c>
      <c r="E259" s="2" t="s">
        <v>22</v>
      </c>
      <c r="F259" s="2" t="s">
        <v>161</v>
      </c>
      <c r="G259" s="2">
        <v>2</v>
      </c>
      <c r="H259" s="2">
        <f>VALUE(
 IF(RIGHT(F259,1)="k",
    LEFT(F259,LEN(F259)-1)*1000,
    SUBSTITUTE(SUBSTITUTE(F259,"đ",""),".","")
 )
)</f>
        <v>44000</v>
      </c>
      <c r="I259" s="2">
        <f t="shared" si="12"/>
        <v>88000</v>
      </c>
      <c r="J259" s="4">
        <v>45649</v>
      </c>
      <c r="K259" s="2" t="s">
        <v>375</v>
      </c>
      <c r="L259" s="2" t="str">
        <f t="shared" si="13"/>
        <v>Trua</v>
      </c>
      <c r="M259" s="2">
        <f t="shared" si="14"/>
        <v>13</v>
      </c>
    </row>
    <row r="260" spans="1:13" ht="15.75" customHeight="1" x14ac:dyDescent="0.25">
      <c r="A260" s="2" t="s">
        <v>668</v>
      </c>
      <c r="B260" s="2" t="s">
        <v>709</v>
      </c>
      <c r="C260" s="2" t="s">
        <v>712</v>
      </c>
      <c r="D260" s="2" t="s">
        <v>28</v>
      </c>
      <c r="E260" s="2" t="s">
        <v>29</v>
      </c>
      <c r="F260" s="2" t="s">
        <v>48</v>
      </c>
      <c r="G260" s="2">
        <v>2</v>
      </c>
      <c r="H260" s="2">
        <f>VALUE(
 IF(RIGHT(F260,1)="k",
    LEFT(F260,LEN(F260)-1)*1000,
    SUBSTITUTE(SUBSTITUTE(F260,"đ",""),".","")
 )
)</f>
        <v>33000</v>
      </c>
      <c r="I260" s="2">
        <f t="shared" si="12"/>
        <v>66000</v>
      </c>
      <c r="J260" s="4">
        <v>45627</v>
      </c>
      <c r="K260" s="2" t="s">
        <v>231</v>
      </c>
      <c r="L260" s="2" t="str">
        <f t="shared" si="13"/>
        <v>Sang</v>
      </c>
      <c r="M260" s="2">
        <f t="shared" si="14"/>
        <v>7</v>
      </c>
    </row>
    <row r="261" spans="1:13" ht="15.75" customHeight="1" x14ac:dyDescent="0.25">
      <c r="A261" s="2" t="s">
        <v>669</v>
      </c>
      <c r="B261" s="2" t="s">
        <v>706</v>
      </c>
      <c r="C261" s="2" t="s">
        <v>722</v>
      </c>
      <c r="D261" s="2" t="s">
        <v>25</v>
      </c>
      <c r="E261" s="2" t="s">
        <v>112</v>
      </c>
      <c r="F261" s="2" t="s">
        <v>379</v>
      </c>
      <c r="G261" s="2">
        <v>1</v>
      </c>
      <c r="H261" s="2">
        <f>VALUE(
 IF(RIGHT(F261,1)="k",
    LEFT(F261,LEN(F261)-1)*1000,
    SUBSTITUTE(SUBSTITUTE(F261,"đ",""),".","")
 )
)</f>
        <v>38111</v>
      </c>
      <c r="I261" s="2">
        <f t="shared" si="12"/>
        <v>38111</v>
      </c>
      <c r="J261" s="4">
        <v>45516</v>
      </c>
      <c r="K261" s="2" t="s">
        <v>380</v>
      </c>
      <c r="L261" s="2" t="str">
        <f t="shared" si="13"/>
        <v>Trua</v>
      </c>
      <c r="M261" s="2">
        <f t="shared" si="14"/>
        <v>12</v>
      </c>
    </row>
    <row r="262" spans="1:13" ht="15.75" customHeight="1" x14ac:dyDescent="0.25">
      <c r="A262" s="2" t="s">
        <v>670</v>
      </c>
      <c r="B262" s="2" t="s">
        <v>707</v>
      </c>
      <c r="C262" s="2" t="s">
        <v>722</v>
      </c>
      <c r="D262" s="2" t="s">
        <v>53</v>
      </c>
      <c r="E262" s="2" t="s">
        <v>10</v>
      </c>
      <c r="F262" s="2" t="s">
        <v>200</v>
      </c>
      <c r="G262" s="2">
        <v>2</v>
      </c>
      <c r="H262" s="2">
        <f>VALUE(
 IF(RIGHT(F262,1)="k",
    LEFT(F262,LEN(F262)-1)*1000,
    SUBSTITUTE(SUBSTITUTE(F262,"đ",""),".","")
 )
)</f>
        <v>47000</v>
      </c>
      <c r="I262" s="2">
        <f t="shared" si="12"/>
        <v>94000</v>
      </c>
      <c r="J262" s="4">
        <v>45649</v>
      </c>
      <c r="K262" s="2" t="s">
        <v>179</v>
      </c>
      <c r="L262" s="2" t="str">
        <f t="shared" si="13"/>
        <v>Trua</v>
      </c>
      <c r="M262" s="2">
        <f t="shared" si="14"/>
        <v>12</v>
      </c>
    </row>
    <row r="263" spans="1:13" ht="15.75" customHeight="1" x14ac:dyDescent="0.25">
      <c r="A263" s="2" t="s">
        <v>671</v>
      </c>
      <c r="B263" s="2" t="s">
        <v>705</v>
      </c>
      <c r="C263" s="2" t="s">
        <v>714</v>
      </c>
      <c r="D263" s="2" t="s">
        <v>61</v>
      </c>
      <c r="E263" s="2" t="s">
        <v>76</v>
      </c>
      <c r="F263" s="2" t="s">
        <v>43</v>
      </c>
      <c r="G263" s="2">
        <v>1</v>
      </c>
      <c r="H263" s="2">
        <f>VALUE(
 IF(RIGHT(F263,1)="k",
    LEFT(F263,LEN(F263)-1)*1000,
    SUBSTITUTE(SUBSTITUTE(F263,"đ",""),".","")
 )
)</f>
        <v>50000</v>
      </c>
      <c r="I263" s="2">
        <f t="shared" si="12"/>
        <v>50000</v>
      </c>
      <c r="J263" s="4">
        <v>45634</v>
      </c>
      <c r="K263" s="2" t="s">
        <v>381</v>
      </c>
      <c r="L263" s="2" t="str">
        <f t="shared" si="13"/>
        <v>Toi</v>
      </c>
      <c r="M263" s="2">
        <f t="shared" si="14"/>
        <v>19</v>
      </c>
    </row>
    <row r="264" spans="1:13" ht="15.75" customHeight="1" x14ac:dyDescent="0.25">
      <c r="A264" s="2" t="s">
        <v>440</v>
      </c>
      <c r="B264" s="2" t="s">
        <v>705</v>
      </c>
      <c r="C264" s="2" t="s">
        <v>721</v>
      </c>
      <c r="D264" s="2" t="s">
        <v>53</v>
      </c>
      <c r="E264" s="2" t="s">
        <v>10</v>
      </c>
      <c r="F264" s="2" t="s">
        <v>54</v>
      </c>
      <c r="G264" s="2">
        <v>2</v>
      </c>
      <c r="H264" s="2">
        <f>VALUE(
 IF(RIGHT(F264,1)="k",
    LEFT(F264,LEN(F264)-1)*1000,
    SUBSTITUTE(SUBSTITUTE(F264,"đ",""),".","")
 )
)</f>
        <v>44000</v>
      </c>
      <c r="I264" s="2">
        <f t="shared" si="12"/>
        <v>88000</v>
      </c>
      <c r="J264" s="4">
        <v>45639</v>
      </c>
      <c r="K264" s="2" t="s">
        <v>55</v>
      </c>
      <c r="L264" s="2" t="str">
        <f t="shared" si="13"/>
        <v>Sang</v>
      </c>
      <c r="M264" s="2">
        <f t="shared" si="14"/>
        <v>7</v>
      </c>
    </row>
    <row r="265" spans="1:13" ht="15.75" customHeight="1" x14ac:dyDescent="0.25">
      <c r="A265" s="2" t="s">
        <v>672</v>
      </c>
      <c r="B265" s="2" t="s">
        <v>707</v>
      </c>
      <c r="C265" s="2" t="s">
        <v>718</v>
      </c>
      <c r="D265" s="2" t="s">
        <v>37</v>
      </c>
      <c r="E265" s="2" t="s">
        <v>29</v>
      </c>
      <c r="F265" s="2" t="s">
        <v>382</v>
      </c>
      <c r="G265" s="2">
        <v>3</v>
      </c>
      <c r="H265" s="2">
        <f>VALUE(
 IF(RIGHT(F265,1)="k",
    LEFT(F265,LEN(F265)-1)*1000,
    SUBSTITUTE(SUBSTITUTE(F265,"đ",""),".","")
 )
)</f>
        <v>38048</v>
      </c>
      <c r="I265" s="2">
        <f t="shared" si="12"/>
        <v>114144</v>
      </c>
      <c r="J265" s="4">
        <v>45363</v>
      </c>
      <c r="K265" s="2" t="s">
        <v>383</v>
      </c>
      <c r="L265" s="2" t="str">
        <f t="shared" si="13"/>
        <v>Chieu</v>
      </c>
      <c r="M265" s="2">
        <f t="shared" si="14"/>
        <v>14</v>
      </c>
    </row>
    <row r="266" spans="1:13" ht="15.75" customHeight="1" x14ac:dyDescent="0.25">
      <c r="A266" s="2" t="s">
        <v>673</v>
      </c>
      <c r="B266" s="2" t="s">
        <v>708</v>
      </c>
      <c r="C266" s="2" t="s">
        <v>716</v>
      </c>
      <c r="D266" s="2" t="s">
        <v>58</v>
      </c>
      <c r="E266" s="2" t="s">
        <v>22</v>
      </c>
      <c r="F266" s="2" t="s">
        <v>167</v>
      </c>
      <c r="G266" s="2">
        <v>1</v>
      </c>
      <c r="H266" s="2">
        <f>VALUE(
 IF(RIGHT(F266,1)="k",
    LEFT(F266,LEN(F266)-1)*1000,
    SUBSTITUTE(SUBSTITUTE(F266,"đ",""),".","")
 )
)</f>
        <v>56000</v>
      </c>
      <c r="I266" s="2">
        <f t="shared" si="12"/>
        <v>56000</v>
      </c>
      <c r="J266" s="4">
        <v>45645</v>
      </c>
      <c r="K266" s="2" t="s">
        <v>384</v>
      </c>
      <c r="L266" s="2" t="str">
        <f t="shared" si="13"/>
        <v>Trua</v>
      </c>
      <c r="M266" s="2">
        <f t="shared" si="14"/>
        <v>11</v>
      </c>
    </row>
    <row r="267" spans="1:13" ht="15.75" customHeight="1" x14ac:dyDescent="0.25">
      <c r="A267" s="2" t="s">
        <v>438</v>
      </c>
      <c r="B267" s="2" t="s">
        <v>706</v>
      </c>
      <c r="C267" s="2" t="s">
        <v>719</v>
      </c>
      <c r="D267" s="2" t="s">
        <v>28</v>
      </c>
      <c r="E267" s="2" t="s">
        <v>29</v>
      </c>
      <c r="F267" s="2" t="s">
        <v>48</v>
      </c>
      <c r="G267" s="2">
        <v>1</v>
      </c>
      <c r="H267" s="2">
        <f>VALUE(
 IF(RIGHT(F267,1)="k",
    LEFT(F267,LEN(F267)-1)*1000,
    SUBSTITUTE(SUBSTITUTE(F267,"đ",""),".","")
 )
)</f>
        <v>33000</v>
      </c>
      <c r="I267" s="2">
        <f t="shared" si="12"/>
        <v>33000</v>
      </c>
      <c r="J267" s="4">
        <v>45547</v>
      </c>
      <c r="K267" s="2" t="s">
        <v>49</v>
      </c>
      <c r="L267" s="2" t="str">
        <f t="shared" si="13"/>
        <v>Trua</v>
      </c>
      <c r="M267" s="2">
        <f t="shared" si="14"/>
        <v>13</v>
      </c>
    </row>
    <row r="268" spans="1:13" ht="15.75" customHeight="1" x14ac:dyDescent="0.25">
      <c r="A268" s="2" t="s">
        <v>674</v>
      </c>
      <c r="B268" s="2" t="s">
        <v>706</v>
      </c>
      <c r="C268" s="2" t="s">
        <v>711</v>
      </c>
      <c r="D268" s="2" t="s">
        <v>17</v>
      </c>
      <c r="E268" s="2" t="s">
        <v>18</v>
      </c>
      <c r="F268" s="2" t="s">
        <v>140</v>
      </c>
      <c r="G268" s="2">
        <v>1</v>
      </c>
      <c r="H268" s="2">
        <f>VALUE(
 IF(RIGHT(F268,1)="k",
    LEFT(F268,LEN(F268)-1)*1000,
    SUBSTITUTE(SUBSTITUTE(F268,"đ",""),".","")
 )
)</f>
        <v>41000</v>
      </c>
      <c r="I268" s="2">
        <f t="shared" si="12"/>
        <v>41000</v>
      </c>
      <c r="J268" s="4">
        <v>45627</v>
      </c>
      <c r="K268" s="2" t="s">
        <v>385</v>
      </c>
      <c r="L268" s="2" t="str">
        <f t="shared" si="13"/>
        <v>Trua</v>
      </c>
      <c r="M268" s="2">
        <f t="shared" si="14"/>
        <v>12</v>
      </c>
    </row>
    <row r="269" spans="1:13" ht="15.75" customHeight="1" x14ac:dyDescent="0.25">
      <c r="A269" s="2" t="s">
        <v>675</v>
      </c>
      <c r="B269" s="2" t="s">
        <v>708</v>
      </c>
      <c r="C269" s="2" t="s">
        <v>712</v>
      </c>
      <c r="D269" s="2" t="s">
        <v>220</v>
      </c>
      <c r="E269" s="2" t="s">
        <v>29</v>
      </c>
      <c r="F269" s="2" t="s">
        <v>386</v>
      </c>
      <c r="G269" s="2">
        <v>3</v>
      </c>
      <c r="H269" s="2">
        <f>VALUE(
 IF(RIGHT(F269,1)="k",
    LEFT(F269,LEN(F269)-1)*1000,
    SUBSTITUTE(SUBSTITUTE(F269,"đ",""),".","")
 )
)</f>
        <v>58000</v>
      </c>
      <c r="I269" s="2">
        <f t="shared" si="12"/>
        <v>174000</v>
      </c>
      <c r="J269" s="4">
        <v>45455</v>
      </c>
      <c r="K269" s="2" t="s">
        <v>387</v>
      </c>
      <c r="L269" s="2" t="str">
        <f t="shared" si="13"/>
        <v>Trua</v>
      </c>
      <c r="M269" s="2">
        <f t="shared" si="14"/>
        <v>11</v>
      </c>
    </row>
    <row r="270" spans="1:13" ht="15.75" customHeight="1" x14ac:dyDescent="0.25">
      <c r="A270" s="2" t="s">
        <v>676</v>
      </c>
      <c r="B270" s="2" t="s">
        <v>707</v>
      </c>
      <c r="C270" s="2" t="s">
        <v>721</v>
      </c>
      <c r="D270" s="2" t="s">
        <v>61</v>
      </c>
      <c r="E270" s="2" t="s">
        <v>10</v>
      </c>
      <c r="F270" s="2" t="s">
        <v>388</v>
      </c>
      <c r="G270" s="2">
        <v>2</v>
      </c>
      <c r="H270" s="2">
        <f>VALUE(
 IF(RIGHT(F270,1)="k",
    LEFT(F270,LEN(F270)-1)*1000,
    SUBSTITUTE(SUBSTITUTE(F270,"đ",""),".","")
 )
)</f>
        <v>50000</v>
      </c>
      <c r="I270" s="2">
        <f t="shared" si="12"/>
        <v>100000</v>
      </c>
      <c r="J270" s="4">
        <v>45645</v>
      </c>
      <c r="K270" s="2" t="s">
        <v>389</v>
      </c>
      <c r="L270" s="2" t="str">
        <f t="shared" si="13"/>
        <v>Trua</v>
      </c>
      <c r="M270" s="2">
        <f t="shared" si="14"/>
        <v>11</v>
      </c>
    </row>
    <row r="271" spans="1:13" ht="15.75" customHeight="1" x14ac:dyDescent="0.25">
      <c r="A271" s="2" t="s">
        <v>677</v>
      </c>
      <c r="B271" s="2" t="s">
        <v>706</v>
      </c>
      <c r="C271" s="2" t="s">
        <v>713</v>
      </c>
      <c r="D271" s="2" t="s">
        <v>71</v>
      </c>
      <c r="E271" s="2" t="s">
        <v>14</v>
      </c>
      <c r="F271" s="2" t="s">
        <v>390</v>
      </c>
      <c r="G271" s="2">
        <v>1</v>
      </c>
      <c r="H271" s="2">
        <f>VALUE(
 IF(RIGHT(F271,1)="k",
    LEFT(F271,LEN(F271)-1)*1000,
    SUBSTITUTE(SUBSTITUTE(F271,"đ",""),".","")
 )
)</f>
        <v>39271</v>
      </c>
      <c r="I271" s="2">
        <f t="shared" si="12"/>
        <v>39271</v>
      </c>
      <c r="J271" s="4">
        <v>45303</v>
      </c>
      <c r="K271" s="2" t="s">
        <v>47</v>
      </c>
      <c r="L271" s="2" t="str">
        <f t="shared" si="13"/>
        <v>Sang</v>
      </c>
      <c r="M271" s="2">
        <f t="shared" si="14"/>
        <v>7</v>
      </c>
    </row>
    <row r="272" spans="1:13" ht="15.75" customHeight="1" x14ac:dyDescent="0.25">
      <c r="A272" s="2" t="s">
        <v>543</v>
      </c>
      <c r="B272" s="2" t="s">
        <v>709</v>
      </c>
      <c r="C272" s="2" t="s">
        <v>723</v>
      </c>
      <c r="D272" s="2" t="s">
        <v>71</v>
      </c>
      <c r="E272" s="2" t="s">
        <v>34</v>
      </c>
      <c r="F272" s="2" t="s">
        <v>94</v>
      </c>
      <c r="G272" s="2">
        <v>2</v>
      </c>
      <c r="H272" s="2">
        <f>VALUE(
 IF(RIGHT(F272,1)="k",
    LEFT(F272,LEN(F272)-1)*1000,
    SUBSTITUTE(SUBSTITUTE(F272,"đ",""),".","")
 )
)</f>
        <v>38000</v>
      </c>
      <c r="I272" s="2">
        <f t="shared" si="12"/>
        <v>76000</v>
      </c>
      <c r="J272" s="4">
        <v>45647</v>
      </c>
      <c r="K272" s="2" t="s">
        <v>236</v>
      </c>
      <c r="L272" s="2" t="str">
        <f t="shared" si="13"/>
        <v>Toi</v>
      </c>
      <c r="M272" s="2">
        <f t="shared" si="14"/>
        <v>19</v>
      </c>
    </row>
    <row r="273" spans="1:13" ht="15.75" customHeight="1" x14ac:dyDescent="0.25">
      <c r="A273" s="2" t="s">
        <v>678</v>
      </c>
      <c r="B273" s="2" t="s">
        <v>705</v>
      </c>
      <c r="C273" s="2" t="s">
        <v>722</v>
      </c>
      <c r="D273" s="2" t="s">
        <v>64</v>
      </c>
      <c r="E273" s="2" t="s">
        <v>29</v>
      </c>
      <c r="F273" s="2" t="s">
        <v>181</v>
      </c>
      <c r="G273" s="2">
        <v>1</v>
      </c>
      <c r="H273" s="2">
        <f>VALUE(
 IF(RIGHT(F273,1)="k",
    LEFT(F273,LEN(F273)-1)*1000,
    SUBSTITUTE(SUBSTITUTE(F273,"đ",""),".","")
 )
)</f>
        <v>51000</v>
      </c>
      <c r="I273" s="2">
        <f t="shared" si="12"/>
        <v>51000</v>
      </c>
      <c r="J273" s="4">
        <v>45334</v>
      </c>
      <c r="K273" s="2" t="s">
        <v>391</v>
      </c>
      <c r="L273" s="2" t="str">
        <f t="shared" si="13"/>
        <v>Trua</v>
      </c>
      <c r="M273" s="2">
        <f t="shared" si="14"/>
        <v>11</v>
      </c>
    </row>
    <row r="274" spans="1:13" ht="15.75" customHeight="1" x14ac:dyDescent="0.25">
      <c r="A274" s="2" t="s">
        <v>679</v>
      </c>
      <c r="B274" s="2" t="s">
        <v>708</v>
      </c>
      <c r="C274" s="2" t="s">
        <v>719</v>
      </c>
      <c r="D274" s="2" t="s">
        <v>6</v>
      </c>
      <c r="E274" s="2" t="s">
        <v>29</v>
      </c>
      <c r="F274" s="2" t="s">
        <v>67</v>
      </c>
      <c r="G274" s="2">
        <v>2</v>
      </c>
      <c r="H274" s="2">
        <f>VALUE(
 IF(RIGHT(F274,1)="k",
    LEFT(F274,LEN(F274)-1)*1000,
    SUBSTITUTE(SUBSTITUTE(F274,"đ",""),".","")
 )
)</f>
        <v>54000</v>
      </c>
      <c r="I274" s="2">
        <f t="shared" si="12"/>
        <v>108000</v>
      </c>
      <c r="J274" s="4">
        <v>45547</v>
      </c>
      <c r="K274" s="2" t="s">
        <v>392</v>
      </c>
      <c r="L274" s="2" t="str">
        <f t="shared" si="13"/>
        <v>Sang</v>
      </c>
      <c r="M274" s="2">
        <f t="shared" si="14"/>
        <v>7</v>
      </c>
    </row>
    <row r="275" spans="1:13" ht="15.75" customHeight="1" x14ac:dyDescent="0.25">
      <c r="A275" s="2" t="s">
        <v>680</v>
      </c>
      <c r="B275" s="2" t="s">
        <v>706</v>
      </c>
      <c r="C275" s="2" t="s">
        <v>710</v>
      </c>
      <c r="D275" s="2" t="s">
        <v>45</v>
      </c>
      <c r="E275" s="2" t="s">
        <v>29</v>
      </c>
      <c r="F275" s="2" t="s">
        <v>85</v>
      </c>
      <c r="G275" s="2">
        <v>2</v>
      </c>
      <c r="H275" s="2">
        <f>VALUE(
 IF(RIGHT(F275,1)="k",
    LEFT(F275,LEN(F275)-1)*1000,
    SUBSTITUTE(SUBSTITUTE(F275,"đ",""),".","")
 )
)</f>
        <v>28000</v>
      </c>
      <c r="I275" s="2">
        <f t="shared" si="12"/>
        <v>56000</v>
      </c>
      <c r="J275" s="4">
        <v>45649</v>
      </c>
      <c r="K275" s="2" t="s">
        <v>393</v>
      </c>
      <c r="L275" s="2" t="str">
        <f t="shared" si="13"/>
        <v>Chieu</v>
      </c>
      <c r="M275" s="2">
        <f t="shared" si="14"/>
        <v>16</v>
      </c>
    </row>
    <row r="276" spans="1:13" ht="15.75" customHeight="1" x14ac:dyDescent="0.25">
      <c r="A276" s="2" t="s">
        <v>681</v>
      </c>
      <c r="B276" s="2" t="s">
        <v>708</v>
      </c>
      <c r="C276" s="2" t="s">
        <v>724</v>
      </c>
      <c r="D276" s="2" t="s">
        <v>61</v>
      </c>
      <c r="E276" s="2" t="s">
        <v>76</v>
      </c>
      <c r="F276" s="2" t="s">
        <v>388</v>
      </c>
      <c r="G276" s="2">
        <v>1</v>
      </c>
      <c r="H276" s="2">
        <f>VALUE(
 IF(RIGHT(F276,1)="k",
    LEFT(F276,LEN(F276)-1)*1000,
    SUBSTITUTE(SUBSTITUTE(F276,"đ",""),".","")
 )
)</f>
        <v>50000</v>
      </c>
      <c r="I276" s="2">
        <f t="shared" si="12"/>
        <v>50000</v>
      </c>
      <c r="J276" s="4">
        <v>45641</v>
      </c>
      <c r="K276" s="2" t="s">
        <v>394</v>
      </c>
      <c r="L276" s="2" t="str">
        <f t="shared" si="13"/>
        <v>Toi</v>
      </c>
      <c r="M276" s="2">
        <f t="shared" si="14"/>
        <v>17</v>
      </c>
    </row>
    <row r="277" spans="1:13" ht="15.75" customHeight="1" x14ac:dyDescent="0.25">
      <c r="A277" s="2" t="s">
        <v>682</v>
      </c>
      <c r="B277" s="2" t="s">
        <v>709</v>
      </c>
      <c r="C277" s="2" t="s">
        <v>720</v>
      </c>
      <c r="D277" s="2" t="s">
        <v>9</v>
      </c>
      <c r="E277" s="2" t="s">
        <v>76</v>
      </c>
      <c r="F277" s="2" t="s">
        <v>388</v>
      </c>
      <c r="G277" s="2">
        <v>1</v>
      </c>
      <c r="H277" s="2">
        <f>VALUE(
 IF(RIGHT(F277,1)="k",
    LEFT(F277,LEN(F277)-1)*1000,
    SUBSTITUTE(SUBSTITUTE(F277,"đ",""),".","")
 )
)</f>
        <v>50000</v>
      </c>
      <c r="I277" s="2">
        <f t="shared" si="12"/>
        <v>50000</v>
      </c>
      <c r="J277" s="4">
        <v>45394</v>
      </c>
      <c r="K277" s="2" t="s">
        <v>395</v>
      </c>
      <c r="L277" s="2" t="str">
        <f t="shared" si="13"/>
        <v>Sang</v>
      </c>
      <c r="M277" s="2">
        <f t="shared" si="14"/>
        <v>7</v>
      </c>
    </row>
    <row r="278" spans="1:13" ht="15.75" customHeight="1" x14ac:dyDescent="0.25">
      <c r="A278" s="2" t="s">
        <v>683</v>
      </c>
      <c r="B278" s="2" t="s">
        <v>705</v>
      </c>
      <c r="C278" s="2" t="s">
        <v>722</v>
      </c>
      <c r="D278" s="2" t="s">
        <v>45</v>
      </c>
      <c r="E278" s="2" t="s">
        <v>29</v>
      </c>
      <c r="F278" s="2" t="s">
        <v>396</v>
      </c>
      <c r="G278" s="2">
        <v>1</v>
      </c>
      <c r="H278" s="2">
        <f>VALUE(
 IF(RIGHT(F278,1)="k",
    LEFT(F278,LEN(F278)-1)*1000,
    SUBSTITUTE(SUBSTITUTE(F278,"đ",""),".","")
 )
)</f>
        <v>29141</v>
      </c>
      <c r="I278" s="2">
        <f t="shared" si="12"/>
        <v>29141</v>
      </c>
      <c r="J278" s="4">
        <v>45654</v>
      </c>
      <c r="K278" s="2" t="s">
        <v>397</v>
      </c>
      <c r="L278" s="2" t="str">
        <f t="shared" si="13"/>
        <v>Sang</v>
      </c>
      <c r="M278" s="2">
        <f t="shared" si="14"/>
        <v>9</v>
      </c>
    </row>
    <row r="279" spans="1:13" ht="15.75" customHeight="1" x14ac:dyDescent="0.25">
      <c r="A279" s="2" t="s">
        <v>684</v>
      </c>
      <c r="B279" s="2" t="s">
        <v>705</v>
      </c>
      <c r="C279" s="2" t="s">
        <v>715</v>
      </c>
      <c r="D279" s="2" t="s">
        <v>71</v>
      </c>
      <c r="E279" s="2" t="s">
        <v>87</v>
      </c>
      <c r="F279" s="2" t="s">
        <v>398</v>
      </c>
      <c r="G279" s="2">
        <v>1</v>
      </c>
      <c r="H279" s="2">
        <f>VALUE(
 IF(RIGHT(F279,1)="k",
    LEFT(F279,LEN(F279)-1)*1000,
    SUBSTITUTE(SUBSTITUTE(F279,"đ",""),".","")
 )
)</f>
        <v>39021</v>
      </c>
      <c r="I279" s="2">
        <f t="shared" si="12"/>
        <v>39021</v>
      </c>
      <c r="J279" s="4">
        <v>45639</v>
      </c>
      <c r="K279" s="2" t="s">
        <v>399</v>
      </c>
      <c r="L279" s="2" t="str">
        <f t="shared" si="13"/>
        <v>Trua</v>
      </c>
      <c r="M279" s="2">
        <f t="shared" si="14"/>
        <v>12</v>
      </c>
    </row>
    <row r="280" spans="1:13" ht="15.75" customHeight="1" x14ac:dyDescent="0.25">
      <c r="A280" s="2" t="s">
        <v>574</v>
      </c>
      <c r="B280" s="2" t="s">
        <v>708</v>
      </c>
      <c r="C280" s="2" t="s">
        <v>710</v>
      </c>
      <c r="D280" s="2" t="s">
        <v>17</v>
      </c>
      <c r="E280" s="2" t="s">
        <v>18</v>
      </c>
      <c r="F280" s="2" t="s">
        <v>23</v>
      </c>
      <c r="G280" s="2">
        <v>4</v>
      </c>
      <c r="H280" s="2">
        <f>VALUE(
 IF(RIGHT(F280,1)="k",
    LEFT(F280,LEN(F280)-1)*1000,
    SUBSTITUTE(SUBSTITUTE(F280,"đ",""),".","")
 )
)</f>
        <v>41000</v>
      </c>
      <c r="I280" s="2">
        <f t="shared" si="12"/>
        <v>164000</v>
      </c>
      <c r="J280" s="4">
        <v>45638</v>
      </c>
      <c r="K280" s="2" t="s">
        <v>272</v>
      </c>
      <c r="L280" s="2" t="str">
        <f t="shared" si="13"/>
        <v>Sang</v>
      </c>
      <c r="M280" s="2">
        <f t="shared" si="14"/>
        <v>7</v>
      </c>
    </row>
    <row r="281" spans="1:13" ht="15.75" customHeight="1" x14ac:dyDescent="0.25">
      <c r="A281" s="2" t="s">
        <v>685</v>
      </c>
      <c r="B281" s="2" t="s">
        <v>705</v>
      </c>
      <c r="C281" s="2" t="s">
        <v>711</v>
      </c>
      <c r="D281" s="2" t="s">
        <v>53</v>
      </c>
      <c r="E281" s="2" t="s">
        <v>10</v>
      </c>
      <c r="F281" s="2" t="s">
        <v>400</v>
      </c>
      <c r="G281" s="2">
        <v>1</v>
      </c>
      <c r="H281" s="2">
        <f>VALUE(
 IF(RIGHT(F281,1)="k",
    LEFT(F281,LEN(F281)-1)*1000,
    SUBSTITUTE(SUBSTITUTE(F281,"đ",""),".","")
 )
)</f>
        <v>44881</v>
      </c>
      <c r="I281" s="2">
        <f t="shared" si="12"/>
        <v>44881</v>
      </c>
      <c r="J281" s="4">
        <v>45647</v>
      </c>
      <c r="K281" s="2" t="s">
        <v>336</v>
      </c>
      <c r="L281" s="2" t="str">
        <f t="shared" si="13"/>
        <v>Toi</v>
      </c>
      <c r="M281" s="2">
        <f t="shared" si="14"/>
        <v>20</v>
      </c>
    </row>
    <row r="282" spans="1:13" ht="15.75" customHeight="1" x14ac:dyDescent="0.25">
      <c r="A282" s="2" t="s">
        <v>686</v>
      </c>
      <c r="B282" s="2" t="s">
        <v>708</v>
      </c>
      <c r="C282" s="2" t="s">
        <v>718</v>
      </c>
      <c r="D282" s="2" t="s">
        <v>6</v>
      </c>
      <c r="E282" s="2" t="s">
        <v>29</v>
      </c>
      <c r="F282" s="2" t="s">
        <v>401</v>
      </c>
      <c r="G282" s="2">
        <v>2</v>
      </c>
      <c r="H282" s="2">
        <f>VALUE(
 IF(RIGHT(F282,1)="k",
    LEFT(F282,LEN(F282)-1)*1000,
    SUBSTITUTE(SUBSTITUTE(F282,"đ",""),".","")
 )
)</f>
        <v>57542</v>
      </c>
      <c r="I282" s="2">
        <f t="shared" si="12"/>
        <v>115084</v>
      </c>
      <c r="J282" s="4">
        <v>45639</v>
      </c>
      <c r="K282" s="2" t="s">
        <v>402</v>
      </c>
      <c r="L282" s="2" t="str">
        <f t="shared" si="13"/>
        <v>Chieu</v>
      </c>
      <c r="M282" s="2">
        <f t="shared" si="14"/>
        <v>15</v>
      </c>
    </row>
    <row r="283" spans="1:13" ht="15.75" customHeight="1" x14ac:dyDescent="0.25">
      <c r="A283" s="2" t="s">
        <v>687</v>
      </c>
      <c r="B283" s="2" t="s">
        <v>705</v>
      </c>
      <c r="C283" s="2" t="s">
        <v>718</v>
      </c>
      <c r="D283" s="2" t="s">
        <v>25</v>
      </c>
      <c r="E283" s="2" t="s">
        <v>112</v>
      </c>
      <c r="F283" s="2" t="s">
        <v>94</v>
      </c>
      <c r="G283" s="2">
        <v>1</v>
      </c>
      <c r="H283" s="2">
        <f>VALUE(
 IF(RIGHT(F283,1)="k",
    LEFT(F283,LEN(F283)-1)*1000,
    SUBSTITUTE(SUBSTITUTE(F283,"đ",""),".","")
 )
)</f>
        <v>38000</v>
      </c>
      <c r="I283" s="2">
        <f t="shared" si="12"/>
        <v>38000</v>
      </c>
      <c r="J283" s="4">
        <v>45639</v>
      </c>
      <c r="K283" s="2" t="s">
        <v>403</v>
      </c>
      <c r="L283" s="2" t="str">
        <f t="shared" si="13"/>
        <v>Sang</v>
      </c>
      <c r="M283" s="2">
        <f t="shared" si="14"/>
        <v>7</v>
      </c>
    </row>
    <row r="284" spans="1:13" ht="15.75" customHeight="1" x14ac:dyDescent="0.25">
      <c r="A284" s="2" t="s">
        <v>688</v>
      </c>
      <c r="B284" s="2" t="s">
        <v>706</v>
      </c>
      <c r="C284" s="2" t="s">
        <v>714</v>
      </c>
      <c r="D284" s="2" t="s">
        <v>37</v>
      </c>
      <c r="E284" s="2" t="s">
        <v>29</v>
      </c>
      <c r="F284" s="2" t="s">
        <v>255</v>
      </c>
      <c r="G284" s="2">
        <v>3</v>
      </c>
      <c r="H284" s="2">
        <f>VALUE(
 IF(RIGHT(F284,1)="k",
    LEFT(F284,LEN(F284)-1)*1000,
    SUBSTITUTE(SUBSTITUTE(F284,"đ",""),".","")
 )
)</f>
        <v>38000</v>
      </c>
      <c r="I284" s="2">
        <f t="shared" si="12"/>
        <v>114000</v>
      </c>
      <c r="J284" s="4">
        <v>45547</v>
      </c>
      <c r="K284" s="2" t="s">
        <v>117</v>
      </c>
      <c r="L284" s="2" t="str">
        <f t="shared" si="13"/>
        <v>Sang</v>
      </c>
      <c r="M284" s="2">
        <f t="shared" si="14"/>
        <v>9</v>
      </c>
    </row>
    <row r="285" spans="1:13" ht="15.75" customHeight="1" x14ac:dyDescent="0.25">
      <c r="A285" s="2" t="s">
        <v>689</v>
      </c>
      <c r="B285" s="2" t="s">
        <v>707</v>
      </c>
      <c r="C285" s="2" t="s">
        <v>719</v>
      </c>
      <c r="D285" s="2" t="s">
        <v>115</v>
      </c>
      <c r="E285" s="2" t="s">
        <v>29</v>
      </c>
      <c r="F285" s="2" t="s">
        <v>200</v>
      </c>
      <c r="G285" s="2">
        <v>2</v>
      </c>
      <c r="H285" s="2">
        <f>VALUE(
 IF(RIGHT(F285,1)="k",
    LEFT(F285,LEN(F285)-1)*1000,
    SUBSTITUTE(SUBSTITUTE(F285,"đ",""),".","")
 )
)</f>
        <v>47000</v>
      </c>
      <c r="I285" s="2">
        <f t="shared" si="12"/>
        <v>94000</v>
      </c>
      <c r="J285" s="4">
        <v>45455</v>
      </c>
      <c r="K285" s="2" t="s">
        <v>404</v>
      </c>
      <c r="L285" s="2" t="str">
        <f t="shared" si="13"/>
        <v>Sang</v>
      </c>
      <c r="M285" s="2">
        <f t="shared" si="14"/>
        <v>8</v>
      </c>
    </row>
    <row r="286" spans="1:13" ht="15.75" customHeight="1" x14ac:dyDescent="0.25">
      <c r="A286" s="2" t="s">
        <v>690</v>
      </c>
      <c r="B286" s="2" t="s">
        <v>709</v>
      </c>
      <c r="C286" s="2" t="s">
        <v>718</v>
      </c>
      <c r="D286" s="2" t="s">
        <v>45</v>
      </c>
      <c r="E286" s="2" t="s">
        <v>29</v>
      </c>
      <c r="F286" s="2" t="s">
        <v>405</v>
      </c>
      <c r="G286" s="2">
        <v>3</v>
      </c>
      <c r="H286" s="2">
        <f>VALUE(
 IF(RIGHT(F286,1)="k",
    LEFT(F286,LEN(F286)-1)*1000,
    SUBSTITUTE(SUBSTITUTE(F286,"đ",""),".","")
 )
)</f>
        <v>29000</v>
      </c>
      <c r="I286" s="2">
        <f t="shared" si="12"/>
        <v>87000</v>
      </c>
      <c r="J286" s="4">
        <v>45516</v>
      </c>
      <c r="K286" s="2" t="s">
        <v>406</v>
      </c>
      <c r="L286" s="2" t="str">
        <f t="shared" si="13"/>
        <v>Sang</v>
      </c>
      <c r="M286" s="2">
        <f t="shared" si="14"/>
        <v>10</v>
      </c>
    </row>
    <row r="287" spans="1:13" ht="15.75" customHeight="1" x14ac:dyDescent="0.25">
      <c r="A287" s="2" t="s">
        <v>691</v>
      </c>
      <c r="B287" s="2" t="s">
        <v>705</v>
      </c>
      <c r="C287" s="2" t="s">
        <v>719</v>
      </c>
      <c r="D287" s="2" t="s">
        <v>17</v>
      </c>
      <c r="E287" s="2" t="s">
        <v>18</v>
      </c>
      <c r="F287" s="2" t="s">
        <v>407</v>
      </c>
      <c r="G287" s="2">
        <v>3</v>
      </c>
      <c r="H287" s="2">
        <f>VALUE(
 IF(RIGHT(F287,1)="k",
    LEFT(F287,LEN(F287)-1)*1000,
    SUBSTITUTE(SUBSTITUTE(F287,"đ",""),".","")
 )
)</f>
        <v>39741</v>
      </c>
      <c r="I287" s="2">
        <f t="shared" si="12"/>
        <v>119223</v>
      </c>
      <c r="J287" s="4">
        <v>45303</v>
      </c>
      <c r="K287" s="2" t="s">
        <v>408</v>
      </c>
      <c r="L287" s="2" t="str">
        <f t="shared" si="13"/>
        <v>Sang</v>
      </c>
      <c r="M287" s="2">
        <f t="shared" si="14"/>
        <v>7</v>
      </c>
    </row>
    <row r="288" spans="1:13" ht="15.75" customHeight="1" x14ac:dyDescent="0.25">
      <c r="A288" s="2" t="s">
        <v>692</v>
      </c>
      <c r="B288" s="2" t="s">
        <v>709</v>
      </c>
      <c r="C288" s="2" t="s">
        <v>714</v>
      </c>
      <c r="D288" s="2" t="s">
        <v>115</v>
      </c>
      <c r="E288" s="2" t="s">
        <v>29</v>
      </c>
      <c r="F288" s="2" t="s">
        <v>200</v>
      </c>
      <c r="G288" s="2">
        <v>1</v>
      </c>
      <c r="H288" s="2">
        <f>VALUE(
 IF(RIGHT(F288,1)="k",
    LEFT(F288,LEN(F288)-1)*1000,
    SUBSTITUTE(SUBSTITUTE(F288,"đ",""),".","")
 )
)</f>
        <v>47000</v>
      </c>
      <c r="I288" s="2">
        <f t="shared" si="12"/>
        <v>47000</v>
      </c>
      <c r="J288" s="4">
        <v>45650</v>
      </c>
      <c r="K288" s="2" t="s">
        <v>409</v>
      </c>
      <c r="L288" s="2" t="str">
        <f t="shared" si="13"/>
        <v>Trua</v>
      </c>
      <c r="M288" s="2">
        <f t="shared" si="14"/>
        <v>12</v>
      </c>
    </row>
    <row r="289" spans="1:13" ht="15.75" customHeight="1" x14ac:dyDescent="0.25">
      <c r="A289" s="2" t="s">
        <v>693</v>
      </c>
      <c r="B289" s="2" t="s">
        <v>706</v>
      </c>
      <c r="C289" s="2" t="s">
        <v>722</v>
      </c>
      <c r="D289" s="2" t="s">
        <v>13</v>
      </c>
      <c r="E289" s="2" t="s">
        <v>34</v>
      </c>
      <c r="F289" s="2" t="s">
        <v>100</v>
      </c>
      <c r="G289" s="2">
        <v>2</v>
      </c>
      <c r="H289" s="2">
        <f>VALUE(
 IF(RIGHT(F289,1)="k",
    LEFT(F289,LEN(F289)-1)*1000,
    SUBSTITUTE(SUBSTITUTE(F289,"đ",""),".","")
 )
)</f>
        <v>35000</v>
      </c>
      <c r="I289" s="2">
        <f t="shared" si="12"/>
        <v>70000</v>
      </c>
      <c r="J289" s="4">
        <v>45635</v>
      </c>
      <c r="K289" s="2" t="s">
        <v>410</v>
      </c>
      <c r="L289" s="2" t="str">
        <f t="shared" si="13"/>
        <v>Sang</v>
      </c>
      <c r="M289" s="2">
        <f t="shared" si="14"/>
        <v>9</v>
      </c>
    </row>
    <row r="290" spans="1:13" ht="15.75" customHeight="1" x14ac:dyDescent="0.25">
      <c r="A290" s="2" t="s">
        <v>694</v>
      </c>
      <c r="B290" s="2" t="s">
        <v>706</v>
      </c>
      <c r="C290" s="2" t="s">
        <v>715</v>
      </c>
      <c r="D290" s="2" t="s">
        <v>37</v>
      </c>
      <c r="E290" s="2" t="s">
        <v>29</v>
      </c>
      <c r="F290" s="2" t="s">
        <v>411</v>
      </c>
      <c r="G290" s="2">
        <v>2</v>
      </c>
      <c r="H290" s="2">
        <f>VALUE(
 IF(RIGHT(F290,1)="k",
    LEFT(F290,LEN(F290)-1)*1000,
    SUBSTITUTE(SUBSTITUTE(F290,"đ",""),".","")
 )
)</f>
        <v>40317</v>
      </c>
      <c r="I290" s="2">
        <f t="shared" si="12"/>
        <v>80634</v>
      </c>
      <c r="J290" s="4">
        <v>45650</v>
      </c>
      <c r="K290" s="2" t="s">
        <v>404</v>
      </c>
      <c r="L290" s="2" t="str">
        <f t="shared" si="13"/>
        <v>Sang</v>
      </c>
      <c r="M290" s="2">
        <f t="shared" si="14"/>
        <v>8</v>
      </c>
    </row>
    <row r="291" spans="1:13" ht="15.75" customHeight="1" x14ac:dyDescent="0.25">
      <c r="A291" s="2" t="s">
        <v>492</v>
      </c>
      <c r="B291" s="2" t="s">
        <v>708</v>
      </c>
      <c r="C291" s="2" t="s">
        <v>716</v>
      </c>
      <c r="D291" s="2" t="s">
        <v>45</v>
      </c>
      <c r="E291" s="2" t="s">
        <v>29</v>
      </c>
      <c r="F291" s="2" t="s">
        <v>156</v>
      </c>
      <c r="G291" s="2">
        <v>1</v>
      </c>
      <c r="H291" s="2">
        <f>VALUE(
 IF(RIGHT(F291,1)="k",
    LEFT(F291,LEN(F291)-1)*1000,
    SUBSTITUTE(SUBSTITUTE(F291,"đ",""),".","")
 )
)</f>
        <v>31469</v>
      </c>
      <c r="I291" s="2">
        <f t="shared" si="12"/>
        <v>31469</v>
      </c>
      <c r="J291" s="4">
        <v>45638</v>
      </c>
      <c r="K291" s="2" t="s">
        <v>157</v>
      </c>
      <c r="L291" s="2" t="str">
        <f t="shared" si="13"/>
        <v>Chieu</v>
      </c>
      <c r="M291" s="2">
        <f t="shared" si="14"/>
        <v>14</v>
      </c>
    </row>
    <row r="292" spans="1:13" ht="15.75" customHeight="1" x14ac:dyDescent="0.25">
      <c r="A292" s="2" t="s">
        <v>695</v>
      </c>
      <c r="B292" s="2" t="s">
        <v>707</v>
      </c>
      <c r="C292" s="2" t="s">
        <v>724</v>
      </c>
      <c r="D292" s="2" t="s">
        <v>58</v>
      </c>
      <c r="E292" s="2" t="s">
        <v>22</v>
      </c>
      <c r="F292" s="2" t="s">
        <v>281</v>
      </c>
      <c r="G292" s="2">
        <v>1</v>
      </c>
      <c r="H292" s="2">
        <f>VALUE(
 IF(RIGHT(F292,1)="k",
    LEFT(F292,LEN(F292)-1)*1000,
    SUBSTITUTE(SUBSTITUTE(F292,"đ",""),".","")
 )
)</f>
        <v>55000</v>
      </c>
      <c r="I292" s="2">
        <f t="shared" si="12"/>
        <v>55000</v>
      </c>
      <c r="J292" s="4">
        <v>45394</v>
      </c>
      <c r="K292" s="2" t="s">
        <v>412</v>
      </c>
      <c r="L292" s="2" t="str">
        <f t="shared" si="13"/>
        <v>Sang</v>
      </c>
      <c r="M292" s="2">
        <f t="shared" si="14"/>
        <v>9</v>
      </c>
    </row>
    <row r="293" spans="1:13" ht="15.75" customHeight="1" x14ac:dyDescent="0.25">
      <c r="A293" s="2" t="s">
        <v>696</v>
      </c>
      <c r="B293" s="2" t="s">
        <v>705</v>
      </c>
      <c r="C293" s="2" t="s">
        <v>711</v>
      </c>
      <c r="D293" s="2" t="s">
        <v>13</v>
      </c>
      <c r="E293" s="2" t="s">
        <v>14</v>
      </c>
      <c r="F293" s="2" t="s">
        <v>413</v>
      </c>
      <c r="G293" s="2">
        <v>1</v>
      </c>
      <c r="H293" s="2">
        <f>VALUE(
 IF(RIGHT(F293,1)="k",
    LEFT(F293,LEN(F293)-1)*1000,
    SUBSTITUTE(SUBSTITUTE(F293,"đ",""),".","")
 )
)</f>
        <v>36000</v>
      </c>
      <c r="I293" s="2">
        <f t="shared" si="12"/>
        <v>36000</v>
      </c>
      <c r="J293" s="4">
        <v>45645</v>
      </c>
      <c r="K293" s="2" t="s">
        <v>414</v>
      </c>
      <c r="L293" s="2" t="str">
        <f t="shared" si="13"/>
        <v>Sang</v>
      </c>
      <c r="M293" s="2">
        <f t="shared" si="14"/>
        <v>8</v>
      </c>
    </row>
    <row r="294" spans="1:13" ht="15.75" customHeight="1" x14ac:dyDescent="0.25">
      <c r="A294" s="2" t="s">
        <v>697</v>
      </c>
      <c r="B294" s="2" t="s">
        <v>709</v>
      </c>
      <c r="C294" s="2" t="s">
        <v>720</v>
      </c>
      <c r="D294" s="2" t="s">
        <v>64</v>
      </c>
      <c r="E294" s="2" t="s">
        <v>29</v>
      </c>
      <c r="F294" s="2" t="s">
        <v>181</v>
      </c>
      <c r="G294" s="2">
        <v>1</v>
      </c>
      <c r="H294" s="2">
        <f>VALUE(
 IF(RIGHT(F294,1)="k",
    LEFT(F294,LEN(F294)-1)*1000,
    SUBSTITUTE(SUBSTITUTE(F294,"đ",""),".","")
 )
)</f>
        <v>51000</v>
      </c>
      <c r="I294" s="2">
        <f t="shared" si="12"/>
        <v>51000</v>
      </c>
      <c r="J294" s="4">
        <v>45648</v>
      </c>
      <c r="K294" s="2" t="s">
        <v>415</v>
      </c>
      <c r="L294" s="2" t="str">
        <f t="shared" si="13"/>
        <v>Chieu</v>
      </c>
      <c r="M294" s="2">
        <f t="shared" si="14"/>
        <v>14</v>
      </c>
    </row>
    <row r="295" spans="1:13" ht="15.75" customHeight="1" x14ac:dyDescent="0.25">
      <c r="A295" s="2" t="s">
        <v>698</v>
      </c>
      <c r="B295" s="2" t="s">
        <v>706</v>
      </c>
      <c r="C295" s="2" t="s">
        <v>717</v>
      </c>
      <c r="D295" s="2" t="s">
        <v>64</v>
      </c>
      <c r="E295" s="2" t="s">
        <v>29</v>
      </c>
      <c r="F295" s="2" t="s">
        <v>388</v>
      </c>
      <c r="G295" s="2">
        <v>3</v>
      </c>
      <c r="H295" s="2">
        <f>VALUE(
 IF(RIGHT(F295,1)="k",
    LEFT(F295,LEN(F295)-1)*1000,
    SUBSTITUTE(SUBSTITUTE(F295,"đ",""),".","")
 )
)</f>
        <v>50000</v>
      </c>
      <c r="I295" s="2">
        <f t="shared" si="12"/>
        <v>150000</v>
      </c>
      <c r="J295" s="4">
        <v>45303</v>
      </c>
      <c r="K295" s="2" t="s">
        <v>416</v>
      </c>
      <c r="L295" s="2" t="str">
        <f t="shared" si="13"/>
        <v>Trua</v>
      </c>
      <c r="M295" s="2">
        <f t="shared" si="14"/>
        <v>13</v>
      </c>
    </row>
    <row r="296" spans="1:13" ht="15.75" customHeight="1" x14ac:dyDescent="0.25">
      <c r="A296" s="2" t="s">
        <v>699</v>
      </c>
      <c r="B296" s="2" t="s">
        <v>706</v>
      </c>
      <c r="C296" s="2" t="s">
        <v>724</v>
      </c>
      <c r="D296" s="2" t="s">
        <v>61</v>
      </c>
      <c r="E296" s="2" t="s">
        <v>76</v>
      </c>
      <c r="F296" s="2" t="s">
        <v>171</v>
      </c>
      <c r="G296" s="2">
        <v>1</v>
      </c>
      <c r="H296" s="2">
        <f>VALUE(
 IF(RIGHT(F296,1)="k",
    LEFT(F296,LEN(F296)-1)*1000,
    SUBSTITUTE(SUBSTITUTE(F296,"đ",""),".","")
 )
)</f>
        <v>49000</v>
      </c>
      <c r="I296" s="2">
        <f t="shared" si="12"/>
        <v>49000</v>
      </c>
      <c r="J296" s="4">
        <v>45654</v>
      </c>
      <c r="K296" s="2" t="s">
        <v>312</v>
      </c>
      <c r="L296" s="2" t="str">
        <f t="shared" si="13"/>
        <v>Trua</v>
      </c>
      <c r="M296" s="2">
        <f t="shared" si="14"/>
        <v>13</v>
      </c>
    </row>
    <row r="297" spans="1:13" ht="15.75" customHeight="1" x14ac:dyDescent="0.25">
      <c r="A297" s="2" t="s">
        <v>700</v>
      </c>
      <c r="B297" s="2" t="s">
        <v>705</v>
      </c>
      <c r="C297" s="2" t="s">
        <v>721</v>
      </c>
      <c r="D297" s="2" t="s">
        <v>45</v>
      </c>
      <c r="E297" s="2" t="s">
        <v>29</v>
      </c>
      <c r="F297" s="2" t="s">
        <v>122</v>
      </c>
      <c r="G297" s="2">
        <v>3</v>
      </c>
      <c r="H297" s="2">
        <f>VALUE(
 IF(RIGHT(F297,1)="k",
    LEFT(F297,LEN(F297)-1)*1000,
    SUBSTITUTE(SUBSTITUTE(F297,"đ",""),".","")
 )
)</f>
        <v>30000</v>
      </c>
      <c r="I297" s="2">
        <f t="shared" si="12"/>
        <v>90000</v>
      </c>
      <c r="J297" s="4">
        <v>45646</v>
      </c>
      <c r="K297" s="2" t="s">
        <v>195</v>
      </c>
      <c r="L297" s="2" t="str">
        <f t="shared" si="13"/>
        <v>Sang</v>
      </c>
      <c r="M297" s="2">
        <f t="shared" si="14"/>
        <v>9</v>
      </c>
    </row>
    <row r="298" spans="1:13" ht="15.75" customHeight="1" x14ac:dyDescent="0.25">
      <c r="A298" s="2" t="s">
        <v>701</v>
      </c>
      <c r="B298" s="2" t="s">
        <v>705</v>
      </c>
      <c r="C298" s="2" t="s">
        <v>710</v>
      </c>
      <c r="D298" s="2" t="s">
        <v>64</v>
      </c>
      <c r="E298" s="2" t="s">
        <v>29</v>
      </c>
      <c r="F298" s="2" t="s">
        <v>417</v>
      </c>
      <c r="G298" s="2">
        <v>2</v>
      </c>
      <c r="H298" s="2">
        <f>VALUE(
 IF(RIGHT(F298,1)="k",
    LEFT(F298,LEN(F298)-1)*1000,
    SUBSTITUTE(SUBSTITUTE(F298,"đ",""),".","")
 )
)</f>
        <v>49658</v>
      </c>
      <c r="I298" s="2">
        <f t="shared" si="12"/>
        <v>99316</v>
      </c>
      <c r="J298" s="4">
        <v>45647</v>
      </c>
      <c r="K298" s="2" t="s">
        <v>418</v>
      </c>
      <c r="L298" s="2" t="str">
        <f t="shared" si="13"/>
        <v>Trua</v>
      </c>
      <c r="M298" s="2">
        <f t="shared" si="14"/>
        <v>11</v>
      </c>
    </row>
    <row r="299" spans="1:13" ht="15.75" customHeight="1" x14ac:dyDescent="0.25">
      <c r="A299" s="2" t="s">
        <v>702</v>
      </c>
      <c r="B299" s="2" t="s">
        <v>708</v>
      </c>
      <c r="C299" s="2" t="s">
        <v>713</v>
      </c>
      <c r="D299" s="2" t="s">
        <v>25</v>
      </c>
      <c r="E299" s="2" t="s">
        <v>112</v>
      </c>
      <c r="F299" s="2" t="s">
        <v>419</v>
      </c>
      <c r="G299" s="2">
        <v>1</v>
      </c>
      <c r="H299" s="2">
        <f>VALUE(
 IF(RIGHT(F299,1)="k",
    LEFT(F299,LEN(F299)-1)*1000,
    SUBSTITUTE(SUBSTITUTE(F299,"đ",""),".","")
 )
)</f>
        <v>38520</v>
      </c>
      <c r="I299" s="2">
        <f t="shared" si="12"/>
        <v>38520</v>
      </c>
      <c r="J299" s="4">
        <v>45637</v>
      </c>
      <c r="K299" s="2" t="s">
        <v>420</v>
      </c>
      <c r="L299" s="2" t="str">
        <f t="shared" si="13"/>
        <v>Trua</v>
      </c>
      <c r="M299" s="2">
        <f t="shared" si="14"/>
        <v>11</v>
      </c>
    </row>
    <row r="300" spans="1:13" ht="15.75" customHeight="1" x14ac:dyDescent="0.25">
      <c r="A300" s="2" t="s">
        <v>703</v>
      </c>
      <c r="B300" s="2" t="s">
        <v>705</v>
      </c>
      <c r="C300" s="2" t="s">
        <v>710</v>
      </c>
      <c r="D300" s="2" t="s">
        <v>50</v>
      </c>
      <c r="E300" s="2" t="s">
        <v>22</v>
      </c>
      <c r="F300" s="2" t="s">
        <v>288</v>
      </c>
      <c r="G300" s="2">
        <v>2</v>
      </c>
      <c r="H300" s="2">
        <f>VALUE(
 IF(RIGHT(F300,1)="k",
    LEFT(F300,LEN(F300)-1)*1000,
    SUBSTITUTE(SUBSTITUTE(F300,"đ",""),".","")
 )
)</f>
        <v>46000</v>
      </c>
      <c r="I300" s="2">
        <f t="shared" si="12"/>
        <v>92000</v>
      </c>
      <c r="J300" s="4">
        <v>45650</v>
      </c>
      <c r="K300" s="2" t="s">
        <v>298</v>
      </c>
      <c r="L300" s="2" t="str">
        <f t="shared" si="13"/>
        <v>Toi</v>
      </c>
      <c r="M300" s="2">
        <f t="shared" si="14"/>
        <v>20</v>
      </c>
    </row>
    <row r="301" spans="1:13" ht="15.75" customHeight="1" x14ac:dyDescent="0.25">
      <c r="A301" s="2" t="s">
        <v>704</v>
      </c>
      <c r="B301" s="2" t="s">
        <v>707</v>
      </c>
      <c r="C301" s="2" t="s">
        <v>723</v>
      </c>
      <c r="D301" s="2" t="s">
        <v>17</v>
      </c>
      <c r="E301" s="2" t="s">
        <v>18</v>
      </c>
      <c r="F301" s="2" t="s">
        <v>38</v>
      </c>
      <c r="G301" s="2">
        <v>1</v>
      </c>
      <c r="H301" s="2">
        <f>VALUE(
 IF(RIGHT(F301,1)="k",
    LEFT(F301,LEN(F301)-1)*1000,
    SUBSTITUTE(SUBSTITUTE(F301,"đ",""),".","")
 )
)</f>
        <v>39000</v>
      </c>
      <c r="I301" s="2">
        <f t="shared" si="12"/>
        <v>39000</v>
      </c>
      <c r="J301" s="4">
        <v>45643</v>
      </c>
      <c r="K301" s="2" t="s">
        <v>421</v>
      </c>
      <c r="L301" s="2" t="str">
        <f t="shared" si="13"/>
        <v>Chieu</v>
      </c>
      <c r="M301" s="2">
        <f t="shared" si="14"/>
        <v>16</v>
      </c>
    </row>
    <row r="302" spans="1:13" ht="15.75" customHeight="1" x14ac:dyDescent="0.25"/>
    <row r="303" spans="1:13" ht="15.75" customHeight="1" x14ac:dyDescent="0.25"/>
    <row r="304" spans="1:13"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M301" xr:uid="{00000000-0001-0000-0000-00000000000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Sheet3</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cp:lastModifiedBy>
  <dcterms:created xsi:type="dcterms:W3CDTF">2026-01-28T22:06:17Z</dcterms:created>
  <dcterms:modified xsi:type="dcterms:W3CDTF">2026-01-30T02:21:02Z</dcterms:modified>
</cp:coreProperties>
</file>