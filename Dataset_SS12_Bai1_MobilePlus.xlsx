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HI\Downloads\"/>
    </mc:Choice>
  </mc:AlternateContent>
  <xr:revisionPtr revIDLastSave="0" documentId="13_ncr:1_{E6B69372-D615-49C7-AAB9-4BA77858C79A}" xr6:coauthVersionLast="47" xr6:coauthVersionMax="47" xr10:uidLastSave="{00000000-0000-0000-0000-000000000000}"/>
  <bookViews>
    <workbookView xWindow="-120" yWindow="-120" windowWidth="20730" windowHeight="11040" activeTab="2" xr2:uid="{00000000-000D-0000-FFFF-FFFF00000000}"/>
  </bookViews>
  <sheets>
    <sheet name="Sheet2" sheetId="2" r:id="rId1"/>
    <sheet name="Sheet1" sheetId="1" r:id="rId2"/>
    <sheet name="Sheet3" sheetId="3" r:id="rId3"/>
  </sheets>
  <definedNames>
    <definedName name="_xlnm._FilterDatabase" localSheetId="1" hidden="1">Sheet1!$A$1:$L$281</definedName>
    <definedName name="Slicer_Chi_Nhanh">#N/A</definedName>
    <definedName name="Slicer_Danh_Muc">#N/A</definedName>
  </definedNames>
  <calcPr calcId="191029"/>
  <pivotCaches>
    <pivotCache cacheId="3" r:id="rId4"/>
    <pivotCache cacheId="1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8" i="1" l="1"/>
  <c r="N6" i="1"/>
  <c r="N4"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alcChain>
</file>

<file path=xl/sharedStrings.xml><?xml version="1.0" encoding="utf-8"?>
<sst xmlns="http://schemas.openxmlformats.org/spreadsheetml/2006/main" count="1545" uniqueCount="612">
  <si>
    <t>Price</t>
  </si>
  <si>
    <t>Qty</t>
  </si>
  <si>
    <t>Date</t>
  </si>
  <si>
    <t>Chi_Nhanh</t>
  </si>
  <si>
    <t>Danh_Muc</t>
  </si>
  <si>
    <t>Ten_SP</t>
  </si>
  <si>
    <t>2</t>
  </si>
  <si>
    <t>4</t>
  </si>
  <si>
    <t>1</t>
  </si>
  <si>
    <t>3</t>
  </si>
  <si>
    <t>5</t>
  </si>
  <si>
    <t>Long Bien</t>
  </si>
  <si>
    <t>Dong Da</t>
  </si>
  <si>
    <t>Cau Giay</t>
  </si>
  <si>
    <t>Dien thoai</t>
  </si>
  <si>
    <t>Phu kien</t>
  </si>
  <si>
    <t>May tinh bang</t>
  </si>
  <si>
    <t>Vivo V29</t>
  </si>
  <si>
    <t>Op lung Samsung</t>
  </si>
  <si>
    <t>OPPO Find X6</t>
  </si>
  <si>
    <t>Samsung S24</t>
  </si>
  <si>
    <t>Mieng dan man hinh</t>
  </si>
  <si>
    <t>Xiaomi 14</t>
  </si>
  <si>
    <t>iPhone 15 Pro Max</t>
  </si>
  <si>
    <t>iPad Air</t>
  </si>
  <si>
    <t>iPad Gen 10</t>
  </si>
  <si>
    <t>Lenovo Tab M10</t>
  </si>
  <si>
    <t>Tai nghe co day</t>
  </si>
  <si>
    <t>Sac du phong 20000mAh</t>
  </si>
  <si>
    <t>Galaxy Buds2 Pro</t>
  </si>
  <si>
    <t>Samsung Tab A9</t>
  </si>
  <si>
    <t>Samsung S24 Ultra</t>
  </si>
  <si>
    <t>Cap sac Type-C</t>
  </si>
  <si>
    <t>AirPods 3</t>
  </si>
  <si>
    <t>Apple Watch SE</t>
  </si>
  <si>
    <t>Realme 12 Pro</t>
  </si>
  <si>
    <t>iPhone 15</t>
  </si>
  <si>
    <t>Sac du phong 10000mAh</t>
  </si>
  <si>
    <t>Cap sac Lightning</t>
  </si>
  <si>
    <t>Xiaomi Pad 6</t>
  </si>
  <si>
    <t>Tai nghe Bluetooth</t>
  </si>
  <si>
    <t>iPhone 15 Pro</t>
  </si>
  <si>
    <t xml:space="preserve">[DH244] </t>
  </si>
  <si>
    <t xml:space="preserve">[DH150] </t>
  </si>
  <si>
    <t xml:space="preserve">[DH255] </t>
  </si>
  <si>
    <t xml:space="preserve">[DH001] </t>
  </si>
  <si>
    <t xml:space="preserve">[DH024] </t>
  </si>
  <si>
    <t xml:space="preserve">[DH225] </t>
  </si>
  <si>
    <t xml:space="preserve">[DH012] </t>
  </si>
  <si>
    <t xml:space="preserve">[DH029] </t>
  </si>
  <si>
    <t xml:space="preserve">[DH067] </t>
  </si>
  <si>
    <t xml:space="preserve">[DH020] </t>
  </si>
  <si>
    <t xml:space="preserve">[DH163] </t>
  </si>
  <si>
    <t xml:space="preserve">[DH135] </t>
  </si>
  <si>
    <t xml:space="preserve">[DH026] </t>
  </si>
  <si>
    <t xml:space="preserve">[DH141] </t>
  </si>
  <si>
    <t xml:space="preserve">[DH149] </t>
  </si>
  <si>
    <t xml:space="preserve">[DH003] </t>
  </si>
  <si>
    <t xml:space="preserve">[DH087] </t>
  </si>
  <si>
    <t xml:space="preserve">[DH103] </t>
  </si>
  <si>
    <t xml:space="preserve">[DH097] </t>
  </si>
  <si>
    <t xml:space="preserve">[DH120] </t>
  </si>
  <si>
    <t xml:space="preserve">[DH159] </t>
  </si>
  <si>
    <t xml:space="preserve">[DH035] </t>
  </si>
  <si>
    <t xml:space="preserve">[DH115] </t>
  </si>
  <si>
    <t xml:space="preserve">[DH210] </t>
  </si>
  <si>
    <t xml:space="preserve">[DH258] </t>
  </si>
  <si>
    <t xml:space="preserve">[DH095] </t>
  </si>
  <si>
    <t xml:space="preserve">[DH123] </t>
  </si>
  <si>
    <t xml:space="preserve">[DH196] </t>
  </si>
  <si>
    <t xml:space="preserve">[DH199] </t>
  </si>
  <si>
    <t xml:space="preserve">[DH132] </t>
  </si>
  <si>
    <t xml:space="preserve">[DH093] </t>
  </si>
  <si>
    <t xml:space="preserve">[DH010] </t>
  </si>
  <si>
    <t xml:space="preserve">[DH172] </t>
  </si>
  <si>
    <t xml:space="preserve">[DH049] </t>
  </si>
  <si>
    <t xml:space="preserve">[DH121] </t>
  </si>
  <si>
    <t xml:space="preserve">[DH042] </t>
  </si>
  <si>
    <t xml:space="preserve">[DH280] </t>
  </si>
  <si>
    <t xml:space="preserve">[DH161] </t>
  </si>
  <si>
    <t xml:space="preserve">[DH061] </t>
  </si>
  <si>
    <t xml:space="preserve">[DH007] </t>
  </si>
  <si>
    <t xml:space="preserve">[DH033] </t>
  </si>
  <si>
    <t xml:space="preserve">[DH005] </t>
  </si>
  <si>
    <t xml:space="preserve">[DH234] </t>
  </si>
  <si>
    <t xml:space="preserve">[DH046] </t>
  </si>
  <si>
    <t xml:space="preserve">[DH050] </t>
  </si>
  <si>
    <t xml:space="preserve">[DH021] </t>
  </si>
  <si>
    <t xml:space="preserve">[DH140] </t>
  </si>
  <si>
    <t xml:space="preserve">[DH038] </t>
  </si>
  <si>
    <t xml:space="preserve">[DH075] </t>
  </si>
  <si>
    <t xml:space="preserve">[DH268] </t>
  </si>
  <si>
    <t xml:space="preserve">[DH278] </t>
  </si>
  <si>
    <t xml:space="preserve">[DH277] </t>
  </si>
  <si>
    <t xml:space="preserve">[DH147] </t>
  </si>
  <si>
    <t xml:space="preserve">[DH127] </t>
  </si>
  <si>
    <t xml:space="preserve">[DH052] </t>
  </si>
  <si>
    <t xml:space="preserve">[DH259] </t>
  </si>
  <si>
    <t xml:space="preserve">[DH051] </t>
  </si>
  <si>
    <t xml:space="preserve">[DH165] </t>
  </si>
  <si>
    <t xml:space="preserve">[DH175] </t>
  </si>
  <si>
    <t xml:space="preserve">[DH009] </t>
  </si>
  <si>
    <t xml:space="preserve">[DH040] </t>
  </si>
  <si>
    <t xml:space="preserve">[DH254] </t>
  </si>
  <si>
    <t xml:space="preserve">[DH047] </t>
  </si>
  <si>
    <t xml:space="preserve">[DH112] </t>
  </si>
  <si>
    <t xml:space="preserve">[DH180] </t>
  </si>
  <si>
    <t xml:space="preserve">[DH044] </t>
  </si>
  <si>
    <t xml:space="preserve">[DH016] </t>
  </si>
  <si>
    <t xml:space="preserve">[DH145] </t>
  </si>
  <si>
    <t xml:space="preserve">[DH227] </t>
  </si>
  <si>
    <t xml:space="preserve">[DH137] </t>
  </si>
  <si>
    <t xml:space="preserve">[DH034] </t>
  </si>
  <si>
    <t xml:space="preserve">[DH058] </t>
  </si>
  <si>
    <t xml:space="preserve">[DH226] </t>
  </si>
  <si>
    <t xml:space="preserve">[DH039] </t>
  </si>
  <si>
    <t xml:space="preserve">[DH032] </t>
  </si>
  <si>
    <t xml:space="preserve">[DH129] </t>
  </si>
  <si>
    <t xml:space="preserve">[DH186] </t>
  </si>
  <si>
    <t xml:space="preserve">[DH219] </t>
  </si>
  <si>
    <t xml:space="preserve">[DH083] </t>
  </si>
  <si>
    <t xml:space="preserve">[DH002] </t>
  </si>
  <si>
    <t xml:space="preserve">[DH223] </t>
  </si>
  <si>
    <t xml:space="preserve">[DH209] </t>
  </si>
  <si>
    <t xml:space="preserve">[DH183] </t>
  </si>
  <si>
    <t xml:space="preserve">[DH070] </t>
  </si>
  <si>
    <t xml:space="preserve">[DH154] </t>
  </si>
  <si>
    <t xml:space="preserve">[DH089] </t>
  </si>
  <si>
    <t xml:space="preserve">[DH239] </t>
  </si>
  <si>
    <t xml:space="preserve">[DH015] </t>
  </si>
  <si>
    <t xml:space="preserve">[DH066] </t>
  </si>
  <si>
    <t xml:space="preserve">[DH071] </t>
  </si>
  <si>
    <t xml:space="preserve">[DH242] </t>
  </si>
  <si>
    <t xml:space="preserve">[DH106] </t>
  </si>
  <si>
    <t xml:space="preserve">[DH059] </t>
  </si>
  <si>
    <t xml:space="preserve">[DH198] </t>
  </si>
  <si>
    <t xml:space="preserve">[DH146] </t>
  </si>
  <si>
    <t xml:space="preserve">[DH069] </t>
  </si>
  <si>
    <t xml:space="preserve">[DH204] </t>
  </si>
  <si>
    <t xml:space="preserve">[DH249] </t>
  </si>
  <si>
    <t xml:space="preserve">[DH019] </t>
  </si>
  <si>
    <t xml:space="preserve">[DH098] </t>
  </si>
  <si>
    <t xml:space="preserve">[DH197] </t>
  </si>
  <si>
    <t xml:space="preserve">[DH004] </t>
  </si>
  <si>
    <t xml:space="preserve">[DH073] </t>
  </si>
  <si>
    <t xml:space="preserve">[DH011] </t>
  </si>
  <si>
    <t xml:space="preserve">[DH155] </t>
  </si>
  <si>
    <t xml:space="preserve">[DH267] </t>
  </si>
  <si>
    <t xml:space="preserve">[DH057] </t>
  </si>
  <si>
    <t xml:space="preserve">[DH143] </t>
  </si>
  <si>
    <t xml:space="preserve">[DH160] </t>
  </si>
  <si>
    <t xml:space="preserve">[DH256] </t>
  </si>
  <si>
    <t xml:space="preserve">[DH232] </t>
  </si>
  <si>
    <t xml:space="preserve">[DH030] </t>
  </si>
  <si>
    <t xml:space="preserve">[DH233] </t>
  </si>
  <si>
    <t xml:space="preserve">[DH064] </t>
  </si>
  <si>
    <t xml:space="preserve">[DH176] </t>
  </si>
  <si>
    <t xml:space="preserve">[DH065] </t>
  </si>
  <si>
    <t xml:space="preserve">[DH184] </t>
  </si>
  <si>
    <t xml:space="preserve">[DH105] </t>
  </si>
  <si>
    <t xml:space="preserve">[DH235] </t>
  </si>
  <si>
    <t xml:space="preserve">[DH265] </t>
  </si>
  <si>
    <t xml:space="preserve">[DH214] </t>
  </si>
  <si>
    <t xml:space="preserve">[DH188] </t>
  </si>
  <si>
    <t xml:space="preserve">[DH253] </t>
  </si>
  <si>
    <t xml:space="preserve">[DH092] </t>
  </si>
  <si>
    <t xml:space="preserve">[DH014] </t>
  </si>
  <si>
    <t xml:space="preserve">[DH264] </t>
  </si>
  <si>
    <t xml:space="preserve">[DH167] </t>
  </si>
  <si>
    <t xml:space="preserve">[DH139] </t>
  </si>
  <si>
    <t xml:space="preserve">[DH211] </t>
  </si>
  <si>
    <t xml:space="preserve">[DH074] </t>
  </si>
  <si>
    <t xml:space="preserve">[DH171] </t>
  </si>
  <si>
    <t xml:space="preserve">[DH216] </t>
  </si>
  <si>
    <t xml:space="preserve">[DH045] </t>
  </si>
  <si>
    <t xml:space="preserve">[DH125] </t>
  </si>
  <si>
    <t xml:space="preserve">[DH178] </t>
  </si>
  <si>
    <t xml:space="preserve">[DH109] </t>
  </si>
  <si>
    <t xml:space="preserve">[DH099] </t>
  </si>
  <si>
    <t xml:space="preserve">[DH036] </t>
  </si>
  <si>
    <t xml:space="preserve">[DH108] </t>
  </si>
  <si>
    <t xml:space="preserve">[DH220] </t>
  </si>
  <si>
    <t xml:space="preserve">[DH131] </t>
  </si>
  <si>
    <t xml:space="preserve">[DH096] </t>
  </si>
  <si>
    <t xml:space="preserve">[DH203] </t>
  </si>
  <si>
    <t xml:space="preserve">[DH062] </t>
  </si>
  <si>
    <t xml:space="preserve">[DH031] </t>
  </si>
  <si>
    <t xml:space="preserve">[DH168] </t>
  </si>
  <si>
    <t xml:space="preserve">[DH251] </t>
  </si>
  <si>
    <t xml:space="preserve">[DH191] </t>
  </si>
  <si>
    <t xml:space="preserve">[DH228] </t>
  </si>
  <si>
    <t xml:space="preserve">[DH212] </t>
  </si>
  <si>
    <t xml:space="preserve">[DH222] </t>
  </si>
  <si>
    <t xml:space="preserve">[DH091] </t>
  </si>
  <si>
    <t xml:space="preserve">[DH237] </t>
  </si>
  <si>
    <t xml:space="preserve">[DH173] </t>
  </si>
  <si>
    <t xml:space="preserve">[DH151] </t>
  </si>
  <si>
    <t xml:space="preserve">[DH101] </t>
  </si>
  <si>
    <t xml:space="preserve">[DH157] </t>
  </si>
  <si>
    <t xml:space="preserve">[DH195] </t>
  </si>
  <si>
    <t xml:space="preserve">[DH153] </t>
  </si>
  <si>
    <t xml:space="preserve">[DH081] </t>
  </si>
  <si>
    <t xml:space="preserve">[DH200] </t>
  </si>
  <si>
    <t xml:space="preserve">[DH136] </t>
  </si>
  <si>
    <t xml:space="preserve">[DH126] </t>
  </si>
  <si>
    <t xml:space="preserve">[DH068] </t>
  </si>
  <si>
    <t xml:space="preserve">[DH224] </t>
  </si>
  <si>
    <t xml:space="preserve">[DH118] </t>
  </si>
  <si>
    <t xml:space="preserve">[DH193] </t>
  </si>
  <si>
    <t xml:space="preserve">[DH084] </t>
  </si>
  <si>
    <t xml:space="preserve">[DH094] </t>
  </si>
  <si>
    <t xml:space="preserve">[DH261] </t>
  </si>
  <si>
    <t xml:space="preserve">[DH138] </t>
  </si>
  <si>
    <t xml:space="preserve">[DH027] </t>
  </si>
  <si>
    <t xml:space="preserve">[DH148] </t>
  </si>
  <si>
    <t xml:space="preserve">[DH017] </t>
  </si>
  <si>
    <t xml:space="preserve">[DH252] </t>
  </si>
  <si>
    <t xml:space="preserve">[DH240] </t>
  </si>
  <si>
    <t xml:space="preserve">[DH273] </t>
  </si>
  <si>
    <t xml:space="preserve">[DH181] </t>
  </si>
  <si>
    <t xml:space="preserve">[DH100] </t>
  </si>
  <si>
    <t xml:space="preserve">[DH207] </t>
  </si>
  <si>
    <t xml:space="preserve">[DH152] </t>
  </si>
  <si>
    <t xml:space="preserve">[DH231] </t>
  </si>
  <si>
    <t xml:space="preserve">[DH271] </t>
  </si>
  <si>
    <t xml:space="preserve">[DH158] </t>
  </si>
  <si>
    <t xml:space="preserve">[DH189] </t>
  </si>
  <si>
    <t xml:space="preserve">[DH008] </t>
  </si>
  <si>
    <t xml:space="preserve">[DH102] </t>
  </si>
  <si>
    <t xml:space="preserve">[DH111] </t>
  </si>
  <si>
    <t xml:space="preserve">[DH169] </t>
  </si>
  <si>
    <t xml:space="preserve">[DH164] </t>
  </si>
  <si>
    <t xml:space="preserve">[DH202] </t>
  </si>
  <si>
    <t xml:space="preserve">[DH048] </t>
  </si>
  <si>
    <t xml:space="preserve">[DH162] </t>
  </si>
  <si>
    <t xml:space="preserve">[DH104] </t>
  </si>
  <si>
    <t xml:space="preserve">[DH060] </t>
  </si>
  <si>
    <t xml:space="preserve">[DH119] </t>
  </si>
  <si>
    <t xml:space="preserve">[DH110] </t>
  </si>
  <si>
    <t xml:space="preserve">[DH144] </t>
  </si>
  <si>
    <t xml:space="preserve">[DH085] </t>
  </si>
  <si>
    <t xml:space="preserve">[DH041] </t>
  </si>
  <si>
    <t xml:space="preserve">[DH142] </t>
  </si>
  <si>
    <t xml:space="preserve">[DH270] </t>
  </si>
  <si>
    <t xml:space="preserve">[DH063] </t>
  </si>
  <si>
    <t xml:space="preserve">[DH190] </t>
  </si>
  <si>
    <t xml:space="preserve">[DH043] </t>
  </si>
  <si>
    <t xml:space="preserve">[DH276] </t>
  </si>
  <si>
    <t xml:space="preserve">[DH174] </t>
  </si>
  <si>
    <t xml:space="preserve">[DH028] </t>
  </si>
  <si>
    <t xml:space="preserve">[DH166] </t>
  </si>
  <si>
    <t xml:space="preserve">[DH243] </t>
  </si>
  <si>
    <t xml:space="preserve">[DH218] </t>
  </si>
  <si>
    <t xml:space="preserve">[DH272] </t>
  </si>
  <si>
    <t xml:space="preserve">[DH250] </t>
  </si>
  <si>
    <t xml:space="preserve">[DH208] </t>
  </si>
  <si>
    <t xml:space="preserve">[DH077] </t>
  </si>
  <si>
    <t xml:space="preserve">[DH018] </t>
  </si>
  <si>
    <t xml:space="preserve">[DH082] </t>
  </si>
  <si>
    <t xml:space="preserve">[DH116] </t>
  </si>
  <si>
    <t xml:space="preserve">[DH179] </t>
  </si>
  <si>
    <t xml:space="preserve">[DH113] </t>
  </si>
  <si>
    <t xml:space="preserve">[DH025] </t>
  </si>
  <si>
    <t xml:space="preserve">[DH122] </t>
  </si>
  <si>
    <t xml:space="preserve">[DH245] </t>
  </si>
  <si>
    <t xml:space="preserve">[DH134] </t>
  </si>
  <si>
    <t xml:space="preserve">[DH053] </t>
  </si>
  <si>
    <t xml:space="preserve">[DH263] </t>
  </si>
  <si>
    <t xml:space="preserve">[DH117] </t>
  </si>
  <si>
    <t xml:space="preserve">[DH088] </t>
  </si>
  <si>
    <t xml:space="preserve">[DH080] </t>
  </si>
  <si>
    <t xml:space="preserve">[DH090] </t>
  </si>
  <si>
    <t xml:space="preserve">[DH037] </t>
  </si>
  <si>
    <t xml:space="preserve">[DH187] </t>
  </si>
  <si>
    <t xml:space="preserve">[DH241] </t>
  </si>
  <si>
    <t xml:space="preserve">[DH213] </t>
  </si>
  <si>
    <t xml:space="preserve">[DH022] </t>
  </si>
  <si>
    <t xml:space="preserve">[DH247] </t>
  </si>
  <si>
    <t xml:space="preserve">[DH236] </t>
  </si>
  <si>
    <t xml:space="preserve">[DH107] </t>
  </si>
  <si>
    <t xml:space="preserve">[DH076] </t>
  </si>
  <si>
    <t xml:space="preserve">[DH054] </t>
  </si>
  <si>
    <t xml:space="preserve">[DH248] </t>
  </si>
  <si>
    <t xml:space="preserve">[DH013] </t>
  </si>
  <si>
    <t xml:space="preserve">[DH177] </t>
  </si>
  <si>
    <t xml:space="preserve">[DH078] </t>
  </si>
  <si>
    <t xml:space="preserve">[DH257] </t>
  </si>
  <si>
    <t xml:space="preserve">[DH238] </t>
  </si>
  <si>
    <t xml:space="preserve">[DH201] </t>
  </si>
  <si>
    <t xml:space="preserve">[DH192] </t>
  </si>
  <si>
    <t xml:space="preserve">[DH229] </t>
  </si>
  <si>
    <t xml:space="preserve">[DH269] </t>
  </si>
  <si>
    <t xml:space="preserve">[DH266] </t>
  </si>
  <si>
    <t xml:space="preserve">[DH262] </t>
  </si>
  <si>
    <t xml:space="preserve">[DH114] </t>
  </si>
  <si>
    <t xml:space="preserve">[DH133] </t>
  </si>
  <si>
    <t xml:space="preserve">[DH006] </t>
  </si>
  <si>
    <t xml:space="preserve">[DH055] </t>
  </si>
  <si>
    <t xml:space="preserve">[DH221] </t>
  </si>
  <si>
    <t xml:space="preserve">[DH170] </t>
  </si>
  <si>
    <t xml:space="preserve">[DH205] </t>
  </si>
  <si>
    <t xml:space="preserve">[DH023] </t>
  </si>
  <si>
    <t xml:space="preserve">[DH086] </t>
  </si>
  <si>
    <t xml:space="preserve">[DH182] </t>
  </si>
  <si>
    <t xml:space="preserve">[DH128] </t>
  </si>
  <si>
    <t xml:space="preserve">[DH056] </t>
  </si>
  <si>
    <t xml:space="preserve">[DH275] </t>
  </si>
  <si>
    <t xml:space="preserve">[DH185] </t>
  </si>
  <si>
    <t xml:space="preserve">[DH279] </t>
  </si>
  <si>
    <t xml:space="preserve">[DH215] </t>
  </si>
  <si>
    <t xml:space="preserve">[DH260] </t>
  </si>
  <si>
    <t xml:space="preserve">[DH274] </t>
  </si>
  <si>
    <t xml:space="preserve">[DH206] </t>
  </si>
  <si>
    <t xml:space="preserve">[DH246] </t>
  </si>
  <si>
    <t xml:space="preserve">[DH230] </t>
  </si>
  <si>
    <t xml:space="preserve">[DH194] </t>
  </si>
  <si>
    <t xml:space="preserve">[DH217] </t>
  </si>
  <si>
    <t xml:space="preserve">[DH079] </t>
  </si>
  <si>
    <t xml:space="preserve">[DH130] </t>
  </si>
  <si>
    <t xml:space="preserve">[DH124] </t>
  </si>
  <si>
    <t xml:space="preserve">[DH156] </t>
  </si>
  <si>
    <t xml:space="preserve">[DH072] </t>
  </si>
  <si>
    <t xml:space="preserve"> Tran Minh Uy </t>
  </si>
  <si>
    <t xml:space="preserve"> Quach Thanh Minh </t>
  </si>
  <si>
    <t xml:space="preserve"> Tang Kim Lan </t>
  </si>
  <si>
    <t xml:space="preserve"> Pham Van Kien </t>
  </si>
  <si>
    <t xml:space="preserve"> Pham Van Phuc </t>
  </si>
  <si>
    <t xml:space="preserve"> Tran Van Lan </t>
  </si>
  <si>
    <t xml:space="preserve"> Duong Ngoc Cuong </t>
  </si>
  <si>
    <t xml:space="preserve"> Tang Ngoc Uy </t>
  </si>
  <si>
    <t xml:space="preserve"> Tang Kim Phuc </t>
  </si>
  <si>
    <t xml:space="preserve"> Pham Hong Hanh </t>
  </si>
  <si>
    <t xml:space="preserve"> Ma Hong Van </t>
  </si>
  <si>
    <t xml:space="preserve"> Ngo Kim Van </t>
  </si>
  <si>
    <t xml:space="preserve"> Nguyen Thi Hanh </t>
  </si>
  <si>
    <t xml:space="preserve"> Le Minh Tam </t>
  </si>
  <si>
    <t xml:space="preserve"> Do Hoang Quynh </t>
  </si>
  <si>
    <t xml:space="preserve"> Dinh Kim Kien </t>
  </si>
  <si>
    <t xml:space="preserve"> La Van Yen </t>
  </si>
  <si>
    <t xml:space="preserve"> Truong Hoang Kien </t>
  </si>
  <si>
    <t xml:space="preserve"> Ma Hong Ngoc </t>
  </si>
  <si>
    <t xml:space="preserve"> Duong Thi Quynh </t>
  </si>
  <si>
    <t xml:space="preserve"> Bui Thi Dung </t>
  </si>
  <si>
    <t xml:space="preserve"> Nguyen Duc Van </t>
  </si>
  <si>
    <t xml:space="preserve"> La Ngoc Xuan </t>
  </si>
  <si>
    <t xml:space="preserve"> Tran Van Quynh </t>
  </si>
  <si>
    <t xml:space="preserve"> Ma Thi Em </t>
  </si>
  <si>
    <t xml:space="preserve"> Truong Minh Yen </t>
  </si>
  <si>
    <t xml:space="preserve"> Quach Thanh Xuan </t>
  </si>
  <si>
    <t xml:space="preserve"> Truong Anh Em </t>
  </si>
  <si>
    <t xml:space="preserve"> To Thi Ngoc </t>
  </si>
  <si>
    <t xml:space="preserve"> Ma Van Giang </t>
  </si>
  <si>
    <t xml:space="preserve"> Tang Thanh Giang </t>
  </si>
  <si>
    <t xml:space="preserve"> Ly Hong Xuan </t>
  </si>
  <si>
    <t xml:space="preserve"> Tang Anh Minh </t>
  </si>
  <si>
    <t xml:space="preserve"> Pham Ngoc Cuong </t>
  </si>
  <si>
    <t xml:space="preserve"> Ly Duc Hanh </t>
  </si>
  <si>
    <t xml:space="preserve"> Tang Hong Minh </t>
  </si>
  <si>
    <t xml:space="preserve"> Duong Van Minh </t>
  </si>
  <si>
    <t xml:space="preserve"> Cao Minh Son </t>
  </si>
  <si>
    <t xml:space="preserve"> Pham Kim Kien </t>
  </si>
  <si>
    <t xml:space="preserve"> Bui Minh Ngoc </t>
  </si>
  <si>
    <t xml:space="preserve"> Bui Van Son </t>
  </si>
  <si>
    <t xml:space="preserve"> Tran Hoang Uy </t>
  </si>
  <si>
    <t xml:space="preserve"> La Hong Ngoc </t>
  </si>
  <si>
    <t xml:space="preserve"> Vu Thi Lan </t>
  </si>
  <si>
    <t xml:space="preserve"> Tran Hong Cuong </t>
  </si>
  <si>
    <t xml:space="preserve"> Ma Kim Kien </t>
  </si>
  <si>
    <t xml:space="preserve"> Hoang Hoang Binh </t>
  </si>
  <si>
    <t xml:space="preserve"> La Hoang Ngoc </t>
  </si>
  <si>
    <t xml:space="preserve"> Cao Minh Cuong </t>
  </si>
  <si>
    <t xml:space="preserve"> Quach Kim Minh </t>
  </si>
  <si>
    <t xml:space="preserve"> Chau Anh Yen </t>
  </si>
  <si>
    <t xml:space="preserve"> Truong Hong Minh </t>
  </si>
  <si>
    <t xml:space="preserve"> Tran Ngoc Phuc </t>
  </si>
  <si>
    <t xml:space="preserve"> Ma Kim Xuan </t>
  </si>
  <si>
    <t xml:space="preserve"> Ly Van Yen </t>
  </si>
  <si>
    <t xml:space="preserve"> Dinh Hong Giang </t>
  </si>
  <si>
    <t xml:space="preserve"> Bui Van Tam </t>
  </si>
  <si>
    <t xml:space="preserve"> Hoang Van Ngoc </t>
  </si>
  <si>
    <t xml:space="preserve"> La Hong Minh </t>
  </si>
  <si>
    <t xml:space="preserve"> Hoang Hong Phuong </t>
  </si>
  <si>
    <t xml:space="preserve"> Truong Kim Binh </t>
  </si>
  <si>
    <t xml:space="preserve"> Dinh Hoang Lan </t>
  </si>
  <si>
    <t xml:space="preserve"> Tang Thanh Em </t>
  </si>
  <si>
    <t xml:space="preserve"> To Thi Quynh </t>
  </si>
  <si>
    <t xml:space="preserve"> Vu Anh Kien </t>
  </si>
  <si>
    <t xml:space="preserve"> Hoang Thanh Phuong </t>
  </si>
  <si>
    <t xml:space="preserve"> To Duc Dung </t>
  </si>
  <si>
    <t xml:space="preserve"> Bui Minh An </t>
  </si>
  <si>
    <t xml:space="preserve"> Tang Kim Cuong </t>
  </si>
  <si>
    <t xml:space="preserve"> Dinh Anh Uy </t>
  </si>
  <si>
    <t xml:space="preserve"> Le Kim Quynh </t>
  </si>
  <si>
    <t xml:space="preserve"> Duong Ngoc Em </t>
  </si>
  <si>
    <t xml:space="preserve"> Tran Thanh Giang </t>
  </si>
  <si>
    <t xml:space="preserve"> Dinh Ngoc Minh </t>
  </si>
  <si>
    <t xml:space="preserve"> Dinh Ngoc Uy </t>
  </si>
  <si>
    <t xml:space="preserve"> Vu Ngoc Uy </t>
  </si>
  <si>
    <t xml:space="preserve"> Le Thanh Son </t>
  </si>
  <si>
    <t xml:space="preserve"> Quach Thi Giang </t>
  </si>
  <si>
    <t xml:space="preserve"> Le Anh Quynh </t>
  </si>
  <si>
    <t xml:space="preserve"> Truong Duc Binh </t>
  </si>
  <si>
    <t xml:space="preserve"> Truong Anh Minh </t>
  </si>
  <si>
    <t xml:space="preserve"> Duong Minh An </t>
  </si>
  <si>
    <t xml:space="preserve"> Duong Duc Yen </t>
  </si>
  <si>
    <t xml:space="preserve"> Ma Thi Minh </t>
  </si>
  <si>
    <t xml:space="preserve"> Tran Minh Tam </t>
  </si>
  <si>
    <t xml:space="preserve"> Ma Kim Phuc </t>
  </si>
  <si>
    <t xml:space="preserve"> Bui Hoang Phuong </t>
  </si>
  <si>
    <t xml:space="preserve"> Vu Anh Yen </t>
  </si>
  <si>
    <t xml:space="preserve"> Ngo Thi Kien </t>
  </si>
  <si>
    <t xml:space="preserve"> Do Thi Binh </t>
  </si>
  <si>
    <t xml:space="preserve"> Cao Anh Hanh </t>
  </si>
  <si>
    <t xml:space="preserve"> Tang Van Xuan </t>
  </si>
  <si>
    <t xml:space="preserve"> Cao Duc Son </t>
  </si>
  <si>
    <t xml:space="preserve"> Ly Thi Quynh </t>
  </si>
  <si>
    <t xml:space="preserve"> Nguyen Kim Tam </t>
  </si>
  <si>
    <t xml:space="preserve"> Chau Duc Van </t>
  </si>
  <si>
    <t xml:space="preserve"> Truong Thi Son </t>
  </si>
  <si>
    <t xml:space="preserve"> To Hong Van </t>
  </si>
  <si>
    <t xml:space="preserve"> Ly Thanh Van </t>
  </si>
  <si>
    <t xml:space="preserve"> To Anh An </t>
  </si>
  <si>
    <t xml:space="preserve"> Bui Minh Giang </t>
  </si>
  <si>
    <t xml:space="preserve"> Le Hong Quynh </t>
  </si>
  <si>
    <t xml:space="preserve"> La Hoang Kien </t>
  </si>
  <si>
    <t xml:space="preserve"> Duong Hoang Yen </t>
  </si>
  <si>
    <t xml:space="preserve"> Cao Thi Lan </t>
  </si>
  <si>
    <t xml:space="preserve"> Truong Thanh Van </t>
  </si>
  <si>
    <t xml:space="preserve"> Hoang Kim Van </t>
  </si>
  <si>
    <t xml:space="preserve"> Chau Hong Hanh </t>
  </si>
  <si>
    <t xml:space="preserve"> La Thanh Kien </t>
  </si>
  <si>
    <t xml:space="preserve"> Hoang Ngoc Em </t>
  </si>
  <si>
    <t xml:space="preserve"> Ngo Kim Dung </t>
  </si>
  <si>
    <t xml:space="preserve"> La Hong Hanh </t>
  </si>
  <si>
    <t xml:space="preserve"> Ly Hong Cuong </t>
  </si>
  <si>
    <t xml:space="preserve"> Chau Minh Em </t>
  </si>
  <si>
    <t xml:space="preserve"> Hoang Hong Em </t>
  </si>
  <si>
    <t xml:space="preserve"> Ly Thanh Phuc </t>
  </si>
  <si>
    <t xml:space="preserve"> Ly Thanh Quynh </t>
  </si>
  <si>
    <t xml:space="preserve"> Pham Hong Xuan </t>
  </si>
  <si>
    <t xml:space="preserve"> Duong Van Hanh </t>
  </si>
  <si>
    <t xml:space="preserve"> To Hoang Yen </t>
  </si>
  <si>
    <t xml:space="preserve"> Le Thanh Ngoc </t>
  </si>
  <si>
    <t xml:space="preserve"> Dinh Duc Ngoc </t>
  </si>
  <si>
    <t xml:space="preserve"> Duong Van Van </t>
  </si>
  <si>
    <t xml:space="preserve"> La Duc Minh </t>
  </si>
  <si>
    <t xml:space="preserve"> Chau Van An </t>
  </si>
  <si>
    <t xml:space="preserve"> Tran Kim Uy </t>
  </si>
  <si>
    <t xml:space="preserve"> Hoang Minh Yen </t>
  </si>
  <si>
    <t xml:space="preserve"> Tang Duc An </t>
  </si>
  <si>
    <t xml:space="preserve"> Nguyen Thi Lan </t>
  </si>
  <si>
    <t xml:space="preserve"> Quach Hoang An </t>
  </si>
  <si>
    <t xml:space="preserve"> Bui Anh Tam </t>
  </si>
  <si>
    <t xml:space="preserve"> Quach Hoang Dung </t>
  </si>
  <si>
    <t xml:space="preserve"> Hoang Kim Uy </t>
  </si>
  <si>
    <t xml:space="preserve"> Do Duc Ngoc </t>
  </si>
  <si>
    <t xml:space="preserve"> Tang Duc Lan </t>
  </si>
  <si>
    <t xml:space="preserve"> Ngo Kim Binh </t>
  </si>
  <si>
    <t xml:space="preserve"> Bui Hoang Tam </t>
  </si>
  <si>
    <t xml:space="preserve"> Bui Ngoc Lan </t>
  </si>
  <si>
    <t xml:space="preserve"> La Duc Em </t>
  </si>
  <si>
    <t xml:space="preserve"> To Thanh Kien </t>
  </si>
  <si>
    <t xml:space="preserve"> Ngo Ngoc Van </t>
  </si>
  <si>
    <t xml:space="preserve"> Duong Ngoc Hanh </t>
  </si>
  <si>
    <t xml:space="preserve"> Le Kim Em </t>
  </si>
  <si>
    <t xml:space="preserve"> Tang Anh Uy </t>
  </si>
  <si>
    <t xml:space="preserve"> Truong Minh Em </t>
  </si>
  <si>
    <t xml:space="preserve"> Dinh Van Giang </t>
  </si>
  <si>
    <t xml:space="preserve"> Chau Hoang Quynh </t>
  </si>
  <si>
    <t xml:space="preserve"> Cao Kim Uy </t>
  </si>
  <si>
    <t xml:space="preserve"> Tang Ngoc Phuong </t>
  </si>
  <si>
    <t xml:space="preserve"> Nguyen Hoang Phuong </t>
  </si>
  <si>
    <t xml:space="preserve"> Chau Duc Phuc </t>
  </si>
  <si>
    <t xml:space="preserve"> Nguyen Hong Xuan </t>
  </si>
  <si>
    <t xml:space="preserve"> Duong Hoang Uy </t>
  </si>
  <si>
    <t xml:space="preserve"> Tang Van Ngoc </t>
  </si>
  <si>
    <t xml:space="preserve"> Pham Hoang Son </t>
  </si>
  <si>
    <t xml:space="preserve"> Quach Minh Minh </t>
  </si>
  <si>
    <t xml:space="preserve"> La Thi Uy </t>
  </si>
  <si>
    <t xml:space="preserve"> Tran Ngoc Xuan </t>
  </si>
  <si>
    <t xml:space="preserve"> Dinh Thi Hanh </t>
  </si>
  <si>
    <t xml:space="preserve"> Duong Hoang Dung </t>
  </si>
  <si>
    <t xml:space="preserve"> Bui Van Phuong </t>
  </si>
  <si>
    <t xml:space="preserve"> Ma Hoang Hanh </t>
  </si>
  <si>
    <t xml:space="preserve"> Quach Thi Xuan </t>
  </si>
  <si>
    <t xml:space="preserve"> Vu Kim Phuong </t>
  </si>
  <si>
    <t xml:space="preserve"> La Minh Phuc </t>
  </si>
  <si>
    <t xml:space="preserve"> Pham Hoang Em </t>
  </si>
  <si>
    <t xml:space="preserve"> Le Minh An </t>
  </si>
  <si>
    <t xml:space="preserve"> Quach Hong Phuong </t>
  </si>
  <si>
    <t xml:space="preserve"> Duong Kim Phuong </t>
  </si>
  <si>
    <t xml:space="preserve"> To Ngoc Minh </t>
  </si>
  <si>
    <t xml:space="preserve"> Cao Van Phuc </t>
  </si>
  <si>
    <t xml:space="preserve"> Ly Minh Hanh </t>
  </si>
  <si>
    <t xml:space="preserve"> Pham Thanh Lan </t>
  </si>
  <si>
    <t xml:space="preserve"> Do Kim Hanh </t>
  </si>
  <si>
    <t xml:space="preserve"> Pham Minh Van </t>
  </si>
  <si>
    <t xml:space="preserve"> Ma Hoang Van </t>
  </si>
  <si>
    <t xml:space="preserve"> Dinh Duc Son </t>
  </si>
  <si>
    <t xml:space="preserve"> Hoang Ngoc Binh </t>
  </si>
  <si>
    <t xml:space="preserve"> Le Thi Yen </t>
  </si>
  <si>
    <t xml:space="preserve"> Vu Kim Uy </t>
  </si>
  <si>
    <t xml:space="preserve"> Ngo Thi Cuong </t>
  </si>
  <si>
    <t xml:space="preserve"> Cao Minh Yen </t>
  </si>
  <si>
    <t xml:space="preserve"> Vu Thanh Uy </t>
  </si>
  <si>
    <t xml:space="preserve"> Bui Thi Yen </t>
  </si>
  <si>
    <t xml:space="preserve"> Truong Anh Phuc </t>
  </si>
  <si>
    <t xml:space="preserve"> Quach Duc Em </t>
  </si>
  <si>
    <t xml:space="preserve"> Nguyen Thi An </t>
  </si>
  <si>
    <t xml:space="preserve"> Ma Ngoc Lan </t>
  </si>
  <si>
    <t xml:space="preserve"> Quach Minh Son </t>
  </si>
  <si>
    <t xml:space="preserve"> Pham Thi Son </t>
  </si>
  <si>
    <t xml:space="preserve"> La Hoang Yen </t>
  </si>
  <si>
    <t xml:space="preserve"> To Thi Tam </t>
  </si>
  <si>
    <t xml:space="preserve"> Tran Anh Tam </t>
  </si>
  <si>
    <t xml:space="preserve"> Tran Kim An </t>
  </si>
  <si>
    <t xml:space="preserve"> Dinh Ngoc Cuong </t>
  </si>
  <si>
    <t xml:space="preserve"> Ngo Duc Phuong </t>
  </si>
  <si>
    <t xml:space="preserve"> Dinh Hong Em </t>
  </si>
  <si>
    <t xml:space="preserve"> Chau Hong Ngoc </t>
  </si>
  <si>
    <t xml:space="preserve"> Truong Kim Kien </t>
  </si>
  <si>
    <t xml:space="preserve"> Tang Thanh Son </t>
  </si>
  <si>
    <t xml:space="preserve"> Bui Thanh Uy </t>
  </si>
  <si>
    <t xml:space="preserve"> Vu Kim Kien </t>
  </si>
  <si>
    <t xml:space="preserve"> Bui Van Ngoc </t>
  </si>
  <si>
    <t xml:space="preserve"> Do Duc Giang </t>
  </si>
  <si>
    <t xml:space="preserve"> Bui Ngoc Uy </t>
  </si>
  <si>
    <t xml:space="preserve"> Tran Ngoc Yen </t>
  </si>
  <si>
    <t xml:space="preserve"> La Kim Phuc </t>
  </si>
  <si>
    <t xml:space="preserve"> Pham Thi An </t>
  </si>
  <si>
    <t xml:space="preserve"> Quach Anh Binh </t>
  </si>
  <si>
    <t xml:space="preserve"> Tran Van Em </t>
  </si>
  <si>
    <t xml:space="preserve"> Bui Anh Uy </t>
  </si>
  <si>
    <t xml:space="preserve"> La Minh Em </t>
  </si>
  <si>
    <t xml:space="preserve"> Duong Kim Son </t>
  </si>
  <si>
    <t xml:space="preserve"> Ly Thi Hanh </t>
  </si>
  <si>
    <t xml:space="preserve"> Ma Kim Minh </t>
  </si>
  <si>
    <t xml:space="preserve"> Ly Hoang Uy </t>
  </si>
  <si>
    <t xml:space="preserve"> Vu Duc Son </t>
  </si>
  <si>
    <t xml:space="preserve"> Hoang Anh Giang </t>
  </si>
  <si>
    <t xml:space="preserve"> Truong Hong Lan </t>
  </si>
  <si>
    <t xml:space="preserve"> Hoang Ngoc Hanh </t>
  </si>
  <si>
    <t xml:space="preserve"> Nguyen Thi Quynh </t>
  </si>
  <si>
    <t xml:space="preserve"> Ngo Duc Cuong </t>
  </si>
  <si>
    <t xml:space="preserve"> Ma Duc Quynh </t>
  </si>
  <si>
    <t xml:space="preserve"> Truong Anh Kien </t>
  </si>
  <si>
    <t xml:space="preserve"> Bui Ngoc Dung </t>
  </si>
  <si>
    <t xml:space="preserve"> Le Ngoc Ngoc </t>
  </si>
  <si>
    <t xml:space="preserve"> Hoang Duc Phuong </t>
  </si>
  <si>
    <t xml:space="preserve"> Dinh Ngoc Giang </t>
  </si>
  <si>
    <t xml:space="preserve"> Ma Hoang Quynh </t>
  </si>
  <si>
    <t xml:space="preserve"> Tran Anh Dung </t>
  </si>
  <si>
    <t xml:space="preserve"> La Minh Xuan </t>
  </si>
  <si>
    <t xml:space="preserve"> To Minh Lan </t>
  </si>
  <si>
    <t xml:space="preserve"> To Ngoc Xuan </t>
  </si>
  <si>
    <t xml:space="preserve"> Nguyen Ngoc Lan </t>
  </si>
  <si>
    <t xml:space="preserve"> Bui Hong Dung </t>
  </si>
  <si>
    <t xml:space="preserve"> Ma Minh Son </t>
  </si>
  <si>
    <t xml:space="preserve"> Cao Kim Yen </t>
  </si>
  <si>
    <t xml:space="preserve"> Tran Thanh Lan </t>
  </si>
  <si>
    <t xml:space="preserve"> Nguyen Hoang Em </t>
  </si>
  <si>
    <t xml:space="preserve"> Vu Minh Van </t>
  </si>
  <si>
    <t xml:space="preserve"> Chau Van Lan </t>
  </si>
  <si>
    <t xml:space="preserve"> Tran Duc Phuc </t>
  </si>
  <si>
    <t xml:space="preserve"> Duong Thanh Em </t>
  </si>
  <si>
    <t xml:space="preserve"> Truong Hong An </t>
  </si>
  <si>
    <t xml:space="preserve"> Truong Anh Yen </t>
  </si>
  <si>
    <t xml:space="preserve"> Bui Hoang Xuan </t>
  </si>
  <si>
    <t xml:space="preserve"> Ly Duc Phuc </t>
  </si>
  <si>
    <t xml:space="preserve"> To Thanh Quynh </t>
  </si>
  <si>
    <t xml:space="preserve"> Duong Kim Van </t>
  </si>
  <si>
    <t xml:space="preserve"> Ngo Hong Binh </t>
  </si>
  <si>
    <t xml:space="preserve"> Dinh Thi Binh </t>
  </si>
  <si>
    <t xml:space="preserve"> Ly Van Phuc </t>
  </si>
  <si>
    <t xml:space="preserve"> Hoang Duc Em </t>
  </si>
  <si>
    <t xml:space="preserve"> Ly Anh Quynh </t>
  </si>
  <si>
    <t xml:space="preserve"> Quach Minh Cuong </t>
  </si>
  <si>
    <t xml:space="preserve"> Tang Hoang Phuong </t>
  </si>
  <si>
    <t xml:space="preserve"> Tang Minh Uy </t>
  </si>
  <si>
    <t xml:space="preserve"> Do Ngoc Minh </t>
  </si>
  <si>
    <t xml:space="preserve"> Chau Hoang Phuc </t>
  </si>
  <si>
    <t xml:space="preserve"> La Hoang Quynh </t>
  </si>
  <si>
    <t xml:space="preserve"> Quach Thanh Phuc </t>
  </si>
  <si>
    <t xml:space="preserve"> Duong Ngoc Van </t>
  </si>
  <si>
    <t xml:space="preserve"> Tang Minh Quynh </t>
  </si>
  <si>
    <t xml:space="preserve"> Tang Van Kien </t>
  </si>
  <si>
    <t xml:space="preserve"> Dinh Thi Kien </t>
  </si>
  <si>
    <t xml:space="preserve"> Dinh Hong Tam </t>
  </si>
  <si>
    <t xml:space="preserve"> Chau Thi An </t>
  </si>
  <si>
    <t xml:space="preserve"> Do Kim Son </t>
  </si>
  <si>
    <t xml:space="preserve"> Pham Van Em </t>
  </si>
  <si>
    <t xml:space="preserve"> Quach Van Minh </t>
  </si>
  <si>
    <t xml:space="preserve"> Vu Ngoc Giang </t>
  </si>
  <si>
    <t>Mã đơn</t>
  </si>
  <si>
    <t>Họ tên</t>
  </si>
  <si>
    <t>Số điện thoại</t>
  </si>
  <si>
    <t>Doanh thu</t>
  </si>
  <si>
    <t>Tháng</t>
  </si>
  <si>
    <t>Tuần</t>
  </si>
  <si>
    <t>Row Labels</t>
  </si>
  <si>
    <t>Grand Total</t>
  </si>
  <si>
    <t>Sum of Doanh thu</t>
  </si>
  <si>
    <t>Sum of Qty</t>
  </si>
  <si>
    <t>Tổng doanh thu:</t>
  </si>
  <si>
    <t>Tổng số đơn hàng:</t>
  </si>
  <si>
    <t>Trung bình đơn hàng:</t>
  </si>
  <si>
    <t>DASHBOARD DOANH SỐ MOBILE PLUS - THÁNG 12/2024</t>
  </si>
  <si>
    <t>Tổng Doanh Thu</t>
  </si>
  <si>
    <t>Số Đơn Hàng</t>
  </si>
  <si>
    <t>AOV</t>
  </si>
  <si>
    <t>Top Sản Phẩm</t>
  </si>
  <si>
    <t>Ốp Lưng Samsung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</si>
</sst>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1010000]d/m/yyyy;@"/>
    <numFmt numFmtId="166" formatCode="&quot;$&quot;#,##0"/>
  </numFmts>
  <fonts count="5" x14ac:knownFonts="1">
    <font>
      <sz val="11"/>
      <color theme="1"/>
      <name val="Calibri"/>
      <family val="2"/>
      <scheme val="minor"/>
    </font>
    <font>
      <b/>
      <sz val="11"/>
      <color theme="1"/>
      <name val="Calibri"/>
      <family val="2"/>
      <scheme val="minor"/>
    </font>
    <font>
      <b/>
      <sz val="20"/>
      <color theme="1"/>
      <name val="Arial"/>
      <family val="2"/>
    </font>
    <font>
      <b/>
      <sz val="10"/>
      <color theme="1"/>
      <name val="Times New Roman"/>
      <family val="1"/>
    </font>
    <font>
      <b/>
      <sz val="16"/>
      <color theme="1"/>
      <name val="Times New Roman"/>
      <family val="1"/>
    </font>
  </fonts>
  <fills count="6">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5"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right"/>
    </xf>
    <xf numFmtId="0" fontId="0" fillId="0" borderId="0" xfId="0" applyAlignment="1">
      <alignment horizontal="left"/>
    </xf>
    <xf numFmtId="165"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0" fontId="0" fillId="0" borderId="0" xfId="0" pivotButton="1"/>
    <xf numFmtId="0" fontId="0" fillId="0" borderId="0" xfId="0" applyNumberFormat="1"/>
    <xf numFmtId="166" fontId="0" fillId="0" borderId="0" xfId="0" applyNumberFormat="1"/>
    <xf numFmtId="0" fontId="0" fillId="2" borderId="0" xfId="0" applyFont="1" applyFill="1"/>
    <xf numFmtId="0" fontId="3" fillId="3" borderId="1" xfId="0" applyFont="1" applyFill="1" applyBorder="1" applyAlignment="1">
      <alignment horizontal="center" vertical="center"/>
    </xf>
    <xf numFmtId="0" fontId="2" fillId="2" borderId="0" xfId="0" applyFont="1" applyFill="1" applyAlignment="1">
      <alignment vertical="center"/>
    </xf>
    <xf numFmtId="0" fontId="4" fillId="4" borderId="1"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10" xfId="0" applyFont="1" applyFill="1" applyBorder="1" applyAlignment="1">
      <alignment horizontal="center" vertical="center"/>
    </xf>
    <xf numFmtId="0" fontId="2" fillId="5" borderId="0" xfId="0" applyFont="1" applyFill="1" applyAlignment="1">
      <alignment horizontal="center" vertical="center"/>
    </xf>
    <xf numFmtId="0" fontId="2" fillId="5" borderId="4" xfId="0" applyFont="1" applyFill="1" applyBorder="1" applyAlignment="1">
      <alignment horizontal="center" vertical="center"/>
    </xf>
  </cellXfs>
  <cellStyles count="1">
    <cellStyle name="Normal" xfId="0" builtinId="0"/>
  </cellStyles>
  <dxfs count="12">
    <dxf>
      <numFmt numFmtId="166" formatCode="&quot;$&quot;#,##0"/>
    </dxf>
    <dxf>
      <numFmt numFmtId="166" formatCode="&quot;$&quot;#,##0"/>
    </dxf>
    <dxf>
      <numFmt numFmtId="166" formatCode="&quot;$&quot;#,##0"/>
    </dxf>
    <dxf>
      <numFmt numFmtId="166" formatCode="&quot;$&quot;#,##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1010000]d/m/yyyy;@"/>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Doanh thu theo Chi nhánh - Tháng 12/2024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Cau Giay</c:v>
                </c:pt>
                <c:pt idx="1">
                  <c:v>Long Bien</c:v>
                </c:pt>
                <c:pt idx="2">
                  <c:v>Dong Da</c:v>
                </c:pt>
              </c:strCache>
            </c:strRef>
          </c:cat>
          <c:val>
            <c:numRef>
              <c:f>Sheet2!$B$4:$B$7</c:f>
              <c:numCache>
                <c:formatCode>"$"#,##0</c:formatCode>
                <c:ptCount val="3"/>
                <c:pt idx="0">
                  <c:v>1553930000</c:v>
                </c:pt>
                <c:pt idx="1">
                  <c:v>1392260000</c:v>
                </c:pt>
                <c:pt idx="2">
                  <c:v>1345470000</c:v>
                </c:pt>
              </c:numCache>
            </c:numRef>
          </c:val>
          <c:extLst>
            <c:ext xmlns:c16="http://schemas.microsoft.com/office/drawing/2014/chart" uri="{C3380CC4-5D6E-409C-BE32-E72D297353CC}">
              <c16:uniqueId val="{00000000-65CC-4D73-9756-6F3C14E57AE4}"/>
            </c:ext>
          </c:extLst>
        </c:ser>
        <c:dLbls>
          <c:showLegendKey val="0"/>
          <c:showVal val="0"/>
          <c:showCatName val="0"/>
          <c:showSerName val="0"/>
          <c:showPercent val="0"/>
          <c:showBubbleSize val="0"/>
        </c:dLbls>
        <c:gapWidth val="219"/>
        <c:overlap val="-27"/>
        <c:axId val="508536352"/>
        <c:axId val="508537432"/>
      </c:barChart>
      <c:catAx>
        <c:axId val="5085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37432"/>
        <c:crosses val="autoZero"/>
        <c:auto val="1"/>
        <c:lblAlgn val="ctr"/>
        <c:lblOffset val="100"/>
        <c:noMultiLvlLbl val="0"/>
      </c:catAx>
      <c:valAx>
        <c:axId val="508537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Tỷ trọng Doanh thu theo Danh mục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lt1"/>
          </a:solidFill>
          <a:ln w="25400" cap="flat" cmpd="sng" algn="ctr">
            <a:solidFill>
              <a:schemeClr val="accent3"/>
            </a:solidFill>
            <a:prstDash val="solid"/>
          </a:ln>
          <a:effectLst/>
        </c:spPr>
      </c:pivotFmt>
      <c:pivotFmt>
        <c:idx val="2"/>
        <c:spPr>
          <a:solidFill>
            <a:schemeClr val="lt1"/>
          </a:solidFill>
          <a:ln w="25400" cap="flat" cmpd="sng" algn="ctr">
            <a:solidFill>
              <a:schemeClr val="accent2"/>
            </a:solidFill>
            <a:prstDash val="solid"/>
          </a:ln>
          <a:effectLst/>
        </c:spPr>
      </c:pivotFmt>
      <c:pivotFmt>
        <c:idx val="3"/>
        <c:spPr>
          <a:solidFill>
            <a:schemeClr val="lt1"/>
          </a:solidFill>
          <a:ln w="25400" cap="flat" cmpd="sng" algn="ctr">
            <a:solidFill>
              <a:schemeClr val="accent1"/>
            </a:solidFill>
            <a:prstDash val="solid"/>
          </a:ln>
          <a:effectLst/>
        </c:spPr>
      </c:pivotFmt>
    </c:pivotFmts>
    <c:plotArea>
      <c:layout/>
      <c:pieChart>
        <c:varyColors val="1"/>
        <c:ser>
          <c:idx val="0"/>
          <c:order val="0"/>
          <c:tx>
            <c:strRef>
              <c:f>Sheet2!$B$23</c:f>
              <c:strCache>
                <c:ptCount val="1"/>
                <c:pt idx="0">
                  <c:v>Total</c:v>
                </c:pt>
              </c:strCache>
            </c:strRef>
          </c:tx>
          <c:dPt>
            <c:idx val="0"/>
            <c:bubble3D val="0"/>
            <c:spPr>
              <a:solidFill>
                <a:schemeClr val="lt1"/>
              </a:solidFill>
              <a:ln w="25400" cap="flat" cmpd="sng" algn="ctr">
                <a:solidFill>
                  <a:schemeClr val="accent1"/>
                </a:solidFill>
                <a:prstDash val="solid"/>
              </a:ln>
              <a:effectLst/>
            </c:spPr>
            <c:extLst>
              <c:ext xmlns:c16="http://schemas.microsoft.com/office/drawing/2014/chart" uri="{C3380CC4-5D6E-409C-BE32-E72D297353CC}">
                <c16:uniqueId val="{00000004-8B36-4ED3-B99A-5B039CA3CAFC}"/>
              </c:ext>
            </c:extLst>
          </c:dPt>
          <c:dPt>
            <c:idx val="1"/>
            <c:bubble3D val="0"/>
            <c:spPr>
              <a:solidFill>
                <a:schemeClr val="lt1"/>
              </a:solidFill>
              <a:ln w="25400" cap="flat" cmpd="sng" algn="ctr">
                <a:solidFill>
                  <a:schemeClr val="accent2"/>
                </a:solidFill>
                <a:prstDash val="solid"/>
              </a:ln>
              <a:effectLst/>
            </c:spPr>
            <c:extLst>
              <c:ext xmlns:c16="http://schemas.microsoft.com/office/drawing/2014/chart" uri="{C3380CC4-5D6E-409C-BE32-E72D297353CC}">
                <c16:uniqueId val="{00000003-8B36-4ED3-B99A-5B039CA3CAFC}"/>
              </c:ext>
            </c:extLst>
          </c:dPt>
          <c:dPt>
            <c:idx val="2"/>
            <c:bubble3D val="0"/>
            <c:spPr>
              <a:solidFill>
                <a:schemeClr val="lt1"/>
              </a:solidFill>
              <a:ln w="25400" cap="flat" cmpd="sng" algn="ctr">
                <a:solidFill>
                  <a:schemeClr val="accent3"/>
                </a:solidFill>
                <a:prstDash val="solid"/>
              </a:ln>
              <a:effectLst/>
            </c:spPr>
            <c:extLst>
              <c:ext xmlns:c16="http://schemas.microsoft.com/office/drawing/2014/chart" uri="{C3380CC4-5D6E-409C-BE32-E72D297353CC}">
                <c16:uniqueId val="{00000002-8B36-4ED3-B99A-5B039CA3CA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Sheet2!$A$24:$A$27</c:f>
              <c:strCache>
                <c:ptCount val="3"/>
                <c:pt idx="0">
                  <c:v>Dien thoai</c:v>
                </c:pt>
                <c:pt idx="1">
                  <c:v>May tinh bang</c:v>
                </c:pt>
                <c:pt idx="2">
                  <c:v>Phu kien</c:v>
                </c:pt>
              </c:strCache>
            </c:strRef>
          </c:cat>
          <c:val>
            <c:numRef>
              <c:f>Sheet2!$B$24:$B$27</c:f>
              <c:numCache>
                <c:formatCode>General</c:formatCode>
                <c:ptCount val="3"/>
                <c:pt idx="0">
                  <c:v>2637160000</c:v>
                </c:pt>
                <c:pt idx="1">
                  <c:v>1136790000</c:v>
                </c:pt>
                <c:pt idx="2">
                  <c:v>517710000</c:v>
                </c:pt>
              </c:numCache>
            </c:numRef>
          </c:val>
          <c:extLst>
            <c:ext xmlns:c16="http://schemas.microsoft.com/office/drawing/2014/chart" uri="{C3380CC4-5D6E-409C-BE32-E72D297353CC}">
              <c16:uniqueId val="{00000000-8B36-4ED3-B99A-5B039CA3CAF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c:f>
              <c:strCache>
                <c:ptCount val="1"/>
                <c:pt idx="0">
                  <c:v>Sum of Qty</c:v>
                </c:pt>
              </c:strCache>
            </c:strRef>
          </c:tx>
          <c:spPr>
            <a:ln w="28575" cap="rnd">
              <a:solidFill>
                <a:schemeClr val="accent1"/>
              </a:solidFill>
              <a:round/>
            </a:ln>
            <a:effectLst/>
          </c:spPr>
          <c:marker>
            <c:symbol val="none"/>
          </c:marker>
          <c:cat>
            <c:strRef>
              <c:f>Sheet2!$G$4:$G$20</c:f>
              <c:strCache>
                <c:ptCount val="16"/>
                <c:pt idx="0">
                  <c:v>2</c:v>
                </c:pt>
                <c:pt idx="1">
                  <c:v>7</c:v>
                </c:pt>
                <c:pt idx="2">
                  <c:v>11</c:v>
                </c:pt>
                <c:pt idx="3">
                  <c:v>15</c:v>
                </c:pt>
                <c:pt idx="4">
                  <c:v>20</c:v>
                </c:pt>
                <c:pt idx="5">
                  <c:v>24</c:v>
                </c:pt>
                <c:pt idx="6">
                  <c:v>28</c:v>
                </c:pt>
                <c:pt idx="7">
                  <c:v>33</c:v>
                </c:pt>
                <c:pt idx="8">
                  <c:v>37</c:v>
                </c:pt>
                <c:pt idx="9">
                  <c:v>41</c:v>
                </c:pt>
                <c:pt idx="10">
                  <c:v>46</c:v>
                </c:pt>
                <c:pt idx="11">
                  <c:v>49</c:v>
                </c:pt>
                <c:pt idx="12">
                  <c:v>50</c:v>
                </c:pt>
                <c:pt idx="13">
                  <c:v>51</c:v>
                </c:pt>
                <c:pt idx="14">
                  <c:v>52</c:v>
                </c:pt>
                <c:pt idx="15">
                  <c:v>53</c:v>
                </c:pt>
              </c:strCache>
            </c:strRef>
          </c:cat>
          <c:val>
            <c:numRef>
              <c:f>Sheet2!$H$4:$H$20</c:f>
              <c:numCache>
                <c:formatCode>General</c:formatCode>
                <c:ptCount val="16"/>
                <c:pt idx="0">
                  <c:v>9</c:v>
                </c:pt>
                <c:pt idx="1">
                  <c:v>2</c:v>
                </c:pt>
                <c:pt idx="2">
                  <c:v>9</c:v>
                </c:pt>
                <c:pt idx="3">
                  <c:v>12</c:v>
                </c:pt>
                <c:pt idx="4">
                  <c:v>4</c:v>
                </c:pt>
                <c:pt idx="5">
                  <c:v>4</c:v>
                </c:pt>
                <c:pt idx="6">
                  <c:v>0</c:v>
                </c:pt>
                <c:pt idx="7">
                  <c:v>10</c:v>
                </c:pt>
                <c:pt idx="8">
                  <c:v>0</c:v>
                </c:pt>
                <c:pt idx="9">
                  <c:v>5</c:v>
                </c:pt>
                <c:pt idx="10">
                  <c:v>3</c:v>
                </c:pt>
                <c:pt idx="11">
                  <c:v>44</c:v>
                </c:pt>
                <c:pt idx="12">
                  <c:v>52</c:v>
                </c:pt>
                <c:pt idx="13">
                  <c:v>97</c:v>
                </c:pt>
                <c:pt idx="14">
                  <c:v>105</c:v>
                </c:pt>
                <c:pt idx="15">
                  <c:v>33</c:v>
                </c:pt>
              </c:numCache>
            </c:numRef>
          </c:val>
          <c:smooth val="0"/>
          <c:extLst>
            <c:ext xmlns:c16="http://schemas.microsoft.com/office/drawing/2014/chart" uri="{C3380CC4-5D6E-409C-BE32-E72D297353CC}">
              <c16:uniqueId val="{00000000-A7B6-4E92-BBDB-E1D5F21FE1E7}"/>
            </c:ext>
          </c:extLst>
        </c:ser>
        <c:ser>
          <c:idx val="1"/>
          <c:order val="1"/>
          <c:tx>
            <c:strRef>
              <c:f>Sheet2!$I$3</c:f>
              <c:strCache>
                <c:ptCount val="1"/>
                <c:pt idx="0">
                  <c:v>Sum of Doanh thu</c:v>
                </c:pt>
              </c:strCache>
            </c:strRef>
          </c:tx>
          <c:spPr>
            <a:ln w="28575" cap="rnd">
              <a:solidFill>
                <a:schemeClr val="accent2"/>
              </a:solidFill>
              <a:round/>
            </a:ln>
            <a:effectLst/>
          </c:spPr>
          <c:marker>
            <c:symbol val="none"/>
          </c:marker>
          <c:cat>
            <c:strRef>
              <c:f>Sheet2!$G$4:$G$20</c:f>
              <c:strCache>
                <c:ptCount val="16"/>
                <c:pt idx="0">
                  <c:v>2</c:v>
                </c:pt>
                <c:pt idx="1">
                  <c:v>7</c:v>
                </c:pt>
                <c:pt idx="2">
                  <c:v>11</c:v>
                </c:pt>
                <c:pt idx="3">
                  <c:v>15</c:v>
                </c:pt>
                <c:pt idx="4">
                  <c:v>20</c:v>
                </c:pt>
                <c:pt idx="5">
                  <c:v>24</c:v>
                </c:pt>
                <c:pt idx="6">
                  <c:v>28</c:v>
                </c:pt>
                <c:pt idx="7">
                  <c:v>33</c:v>
                </c:pt>
                <c:pt idx="8">
                  <c:v>37</c:v>
                </c:pt>
                <c:pt idx="9">
                  <c:v>41</c:v>
                </c:pt>
                <c:pt idx="10">
                  <c:v>46</c:v>
                </c:pt>
                <c:pt idx="11">
                  <c:v>49</c:v>
                </c:pt>
                <c:pt idx="12">
                  <c:v>50</c:v>
                </c:pt>
                <c:pt idx="13">
                  <c:v>51</c:v>
                </c:pt>
                <c:pt idx="14">
                  <c:v>52</c:v>
                </c:pt>
                <c:pt idx="15">
                  <c:v>53</c:v>
                </c:pt>
              </c:strCache>
            </c:strRef>
          </c:cat>
          <c:val>
            <c:numRef>
              <c:f>Sheet2!$I$4:$I$20</c:f>
              <c:numCache>
                <c:formatCode>General</c:formatCode>
                <c:ptCount val="16"/>
                <c:pt idx="0">
                  <c:v>22230000</c:v>
                </c:pt>
                <c:pt idx="1">
                  <c:v>32580000</c:v>
                </c:pt>
                <c:pt idx="2">
                  <c:v>91320000</c:v>
                </c:pt>
                <c:pt idx="3">
                  <c:v>28500000</c:v>
                </c:pt>
                <c:pt idx="4">
                  <c:v>34280000</c:v>
                </c:pt>
                <c:pt idx="5">
                  <c:v>84960000</c:v>
                </c:pt>
                <c:pt idx="6">
                  <c:v>280000</c:v>
                </c:pt>
                <c:pt idx="7">
                  <c:v>19180000</c:v>
                </c:pt>
                <c:pt idx="8">
                  <c:v>67960000</c:v>
                </c:pt>
                <c:pt idx="9">
                  <c:v>75600000</c:v>
                </c:pt>
                <c:pt idx="10">
                  <c:v>53570000</c:v>
                </c:pt>
                <c:pt idx="11">
                  <c:v>623380000</c:v>
                </c:pt>
                <c:pt idx="12">
                  <c:v>721350000</c:v>
                </c:pt>
                <c:pt idx="13">
                  <c:v>1007250000</c:v>
                </c:pt>
                <c:pt idx="14">
                  <c:v>1048420000</c:v>
                </c:pt>
                <c:pt idx="15">
                  <c:v>380800000</c:v>
                </c:pt>
              </c:numCache>
            </c:numRef>
          </c:val>
          <c:smooth val="0"/>
          <c:extLst>
            <c:ext xmlns:c16="http://schemas.microsoft.com/office/drawing/2014/chart" uri="{C3380CC4-5D6E-409C-BE32-E72D297353CC}">
              <c16:uniqueId val="{00000001-A7B6-4E92-BBDB-E1D5F21FE1E7}"/>
            </c:ext>
          </c:extLst>
        </c:ser>
        <c:dLbls>
          <c:showLegendKey val="0"/>
          <c:showVal val="0"/>
          <c:showCatName val="0"/>
          <c:showSerName val="0"/>
          <c:showPercent val="0"/>
          <c:showBubbleSize val="0"/>
        </c:dLbls>
        <c:smooth val="0"/>
        <c:axId val="514100384"/>
        <c:axId val="514101104"/>
      </c:lineChart>
      <c:catAx>
        <c:axId val="5141003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Tuần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14101104"/>
        <c:crosses val="autoZero"/>
        <c:auto val="1"/>
        <c:lblAlgn val="ctr"/>
        <c:lblOffset val="100"/>
        <c:noMultiLvlLbl val="0"/>
      </c:catAx>
      <c:valAx>
        <c:axId val="51410110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Doanh Thu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1410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5 Sản phẩm Bán chạy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Sheet2!$H$23</c:f>
              <c:strCache>
                <c:ptCount val="1"/>
                <c:pt idx="0">
                  <c:v>Total</c:v>
                </c:pt>
              </c:strCache>
            </c:strRef>
          </c:tx>
          <c:spPr>
            <a:solidFill>
              <a:schemeClr val="accent1"/>
            </a:solidFill>
            <a:ln>
              <a:noFill/>
            </a:ln>
            <a:effectLst/>
          </c:spPr>
          <c:invertIfNegative val="0"/>
          <c:cat>
            <c:strRef>
              <c:f>Sheet2!$G$24:$G$29</c:f>
              <c:strCache>
                <c:ptCount val="5"/>
                <c:pt idx="0">
                  <c:v>Apple Watch SE</c:v>
                </c:pt>
                <c:pt idx="1">
                  <c:v>Cap sac Type-C</c:v>
                </c:pt>
                <c:pt idx="2">
                  <c:v>Galaxy Buds2 Pro</c:v>
                </c:pt>
                <c:pt idx="3">
                  <c:v>Sac du phong 20000mAh</c:v>
                </c:pt>
                <c:pt idx="4">
                  <c:v>iPad Gen 10</c:v>
                </c:pt>
              </c:strCache>
            </c:strRef>
          </c:cat>
          <c:val>
            <c:numRef>
              <c:f>Sheet2!$H$24:$H$29</c:f>
              <c:numCache>
                <c:formatCode>General</c:formatCode>
                <c:ptCount val="5"/>
                <c:pt idx="0">
                  <c:v>35</c:v>
                </c:pt>
                <c:pt idx="1">
                  <c:v>31</c:v>
                </c:pt>
                <c:pt idx="2">
                  <c:v>29</c:v>
                </c:pt>
                <c:pt idx="3">
                  <c:v>22</c:v>
                </c:pt>
                <c:pt idx="4">
                  <c:v>22</c:v>
                </c:pt>
              </c:numCache>
            </c:numRef>
          </c:val>
          <c:extLst>
            <c:ext xmlns:c16="http://schemas.microsoft.com/office/drawing/2014/chart" uri="{C3380CC4-5D6E-409C-BE32-E72D297353CC}">
              <c16:uniqueId val="{00000000-4C51-4AB8-BBCA-FD60E8D021ED}"/>
            </c:ext>
          </c:extLst>
        </c:ser>
        <c:dLbls>
          <c:showLegendKey val="0"/>
          <c:showVal val="0"/>
          <c:showCatName val="0"/>
          <c:showSerName val="0"/>
          <c:showPercent val="0"/>
          <c:showBubbleSize val="0"/>
        </c:dLbls>
        <c:gapWidth val="182"/>
        <c:axId val="514087064"/>
        <c:axId val="514091384"/>
      </c:barChart>
      <c:catAx>
        <c:axId val="514087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91384"/>
        <c:crosses val="autoZero"/>
        <c:auto val="1"/>
        <c:lblAlgn val="ctr"/>
        <c:lblOffset val="100"/>
        <c:noMultiLvlLbl val="0"/>
      </c:catAx>
      <c:valAx>
        <c:axId val="514091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87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Doanh thu theo Chi nhánh - Tháng 12/2024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Cau Giay</c:v>
                </c:pt>
                <c:pt idx="1">
                  <c:v>Long Bien</c:v>
                </c:pt>
                <c:pt idx="2">
                  <c:v>Dong Da</c:v>
                </c:pt>
              </c:strCache>
            </c:strRef>
          </c:cat>
          <c:val>
            <c:numRef>
              <c:f>Sheet2!$B$4:$B$7</c:f>
              <c:numCache>
                <c:formatCode>"$"#,##0</c:formatCode>
                <c:ptCount val="3"/>
                <c:pt idx="0">
                  <c:v>1553930000</c:v>
                </c:pt>
                <c:pt idx="1">
                  <c:v>1392260000</c:v>
                </c:pt>
                <c:pt idx="2">
                  <c:v>1345470000</c:v>
                </c:pt>
              </c:numCache>
            </c:numRef>
          </c:val>
          <c:extLst>
            <c:ext xmlns:c16="http://schemas.microsoft.com/office/drawing/2014/chart" uri="{C3380CC4-5D6E-409C-BE32-E72D297353CC}">
              <c16:uniqueId val="{00000000-ACEF-44E1-A0E0-CD75F05A491B}"/>
            </c:ext>
          </c:extLst>
        </c:ser>
        <c:dLbls>
          <c:showLegendKey val="0"/>
          <c:showVal val="0"/>
          <c:showCatName val="0"/>
          <c:showSerName val="0"/>
          <c:showPercent val="0"/>
          <c:showBubbleSize val="0"/>
        </c:dLbls>
        <c:gapWidth val="219"/>
        <c:overlap val="-27"/>
        <c:axId val="508536352"/>
        <c:axId val="508537432"/>
      </c:barChart>
      <c:catAx>
        <c:axId val="5085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37432"/>
        <c:crosses val="autoZero"/>
        <c:auto val="1"/>
        <c:lblAlgn val="ctr"/>
        <c:lblOffset val="100"/>
        <c:noMultiLvlLbl val="0"/>
      </c:catAx>
      <c:valAx>
        <c:axId val="508537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Tỷ trọng Doanh thu theo Danh mục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lt1"/>
          </a:solidFill>
          <a:ln w="25400" cap="flat" cmpd="sng" algn="ctr">
            <a:solidFill>
              <a:schemeClr val="accent3"/>
            </a:solidFill>
            <a:prstDash val="solid"/>
          </a:ln>
          <a:effectLst/>
        </c:spPr>
      </c:pivotFmt>
      <c:pivotFmt>
        <c:idx val="2"/>
        <c:spPr>
          <a:solidFill>
            <a:schemeClr val="lt1"/>
          </a:solidFill>
          <a:ln w="25400" cap="flat" cmpd="sng" algn="ctr">
            <a:solidFill>
              <a:schemeClr val="accent2"/>
            </a:solidFill>
            <a:prstDash val="solid"/>
          </a:ln>
          <a:effectLst/>
        </c:spPr>
      </c:pivotFmt>
      <c:pivotFmt>
        <c:idx val="3"/>
        <c:spPr>
          <a:solidFill>
            <a:schemeClr val="lt1"/>
          </a:solidFill>
          <a:ln w="25400" cap="flat" cmpd="sng" algn="ctr">
            <a:solidFill>
              <a:schemeClr val="accent1"/>
            </a:solidFill>
            <a:prstDash val="solid"/>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lt1"/>
          </a:solidFill>
          <a:ln w="25400" cap="flat" cmpd="sng" algn="ctr">
            <a:solidFill>
              <a:schemeClr val="accent1"/>
            </a:solidFill>
            <a:prstDash val="solid"/>
          </a:ln>
          <a:effectLst/>
        </c:spPr>
      </c:pivotFmt>
      <c:pivotFmt>
        <c:idx val="6"/>
        <c:spPr>
          <a:solidFill>
            <a:schemeClr val="lt1"/>
          </a:solidFill>
          <a:ln w="25400" cap="flat" cmpd="sng" algn="ctr">
            <a:solidFill>
              <a:schemeClr val="accent2"/>
            </a:solidFill>
            <a:prstDash val="solid"/>
          </a:ln>
          <a:effectLst/>
        </c:spPr>
      </c:pivotFmt>
      <c:pivotFmt>
        <c:idx val="7"/>
        <c:spPr>
          <a:solidFill>
            <a:schemeClr val="lt1"/>
          </a:solidFill>
          <a:ln w="25400" cap="flat" cmpd="sng" algn="ctr">
            <a:solidFill>
              <a:schemeClr val="accent3"/>
            </a:solidFill>
            <a:prstDash val="solid"/>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lt1"/>
          </a:solidFill>
          <a:ln w="25400" cap="flat" cmpd="sng" algn="ctr">
            <a:solidFill>
              <a:schemeClr val="accent1"/>
            </a:solidFill>
            <a:prstDash val="solid"/>
          </a:ln>
          <a:effectLst/>
        </c:spPr>
      </c:pivotFmt>
      <c:pivotFmt>
        <c:idx val="10"/>
        <c:spPr>
          <a:solidFill>
            <a:schemeClr val="lt1"/>
          </a:solidFill>
          <a:ln w="25400" cap="flat" cmpd="sng" algn="ctr">
            <a:solidFill>
              <a:schemeClr val="accent2"/>
            </a:solidFill>
            <a:prstDash val="solid"/>
          </a:ln>
          <a:effectLst/>
        </c:spPr>
      </c:pivotFmt>
      <c:pivotFmt>
        <c:idx val="11"/>
        <c:spPr>
          <a:solidFill>
            <a:schemeClr val="lt1"/>
          </a:solidFill>
          <a:ln w="25400" cap="flat" cmpd="sng" algn="ctr">
            <a:solidFill>
              <a:schemeClr val="accent3"/>
            </a:solidFill>
            <a:prstDash val="solid"/>
          </a:ln>
          <a:effectLst/>
        </c:spPr>
      </c:pivotFmt>
    </c:pivotFmts>
    <c:plotArea>
      <c:layout/>
      <c:pieChart>
        <c:varyColors val="1"/>
        <c:ser>
          <c:idx val="0"/>
          <c:order val="0"/>
          <c:tx>
            <c:strRef>
              <c:f>Sheet2!$B$23</c:f>
              <c:strCache>
                <c:ptCount val="1"/>
                <c:pt idx="0">
                  <c:v>Total</c:v>
                </c:pt>
              </c:strCache>
            </c:strRef>
          </c:tx>
          <c:dPt>
            <c:idx val="0"/>
            <c:bubble3D val="0"/>
            <c:spPr>
              <a:solidFill>
                <a:schemeClr val="lt1"/>
              </a:solidFill>
              <a:ln w="25400" cap="flat" cmpd="sng" algn="ctr">
                <a:solidFill>
                  <a:schemeClr val="accent1"/>
                </a:solidFill>
                <a:prstDash val="solid"/>
              </a:ln>
              <a:effectLst/>
            </c:spPr>
            <c:extLst>
              <c:ext xmlns:c16="http://schemas.microsoft.com/office/drawing/2014/chart" uri="{C3380CC4-5D6E-409C-BE32-E72D297353CC}">
                <c16:uniqueId val="{00000001-28E1-4407-BA9E-CDD52FB807C1}"/>
              </c:ext>
            </c:extLst>
          </c:dPt>
          <c:dPt>
            <c:idx val="1"/>
            <c:bubble3D val="0"/>
            <c:spPr>
              <a:solidFill>
                <a:schemeClr val="lt1"/>
              </a:solidFill>
              <a:ln w="25400" cap="flat" cmpd="sng" algn="ctr">
                <a:solidFill>
                  <a:schemeClr val="accent2"/>
                </a:solidFill>
                <a:prstDash val="solid"/>
              </a:ln>
              <a:effectLst/>
            </c:spPr>
            <c:extLst>
              <c:ext xmlns:c16="http://schemas.microsoft.com/office/drawing/2014/chart" uri="{C3380CC4-5D6E-409C-BE32-E72D297353CC}">
                <c16:uniqueId val="{00000003-28E1-4407-BA9E-CDD52FB807C1}"/>
              </c:ext>
            </c:extLst>
          </c:dPt>
          <c:dPt>
            <c:idx val="2"/>
            <c:bubble3D val="0"/>
            <c:spPr>
              <a:solidFill>
                <a:schemeClr val="lt1"/>
              </a:solidFill>
              <a:ln w="25400" cap="flat" cmpd="sng" algn="ctr">
                <a:solidFill>
                  <a:schemeClr val="accent3"/>
                </a:solidFill>
                <a:prstDash val="solid"/>
              </a:ln>
              <a:effectLst/>
            </c:spPr>
            <c:extLst>
              <c:ext xmlns:c16="http://schemas.microsoft.com/office/drawing/2014/chart" uri="{C3380CC4-5D6E-409C-BE32-E72D297353CC}">
                <c16:uniqueId val="{00000005-28E1-4407-BA9E-CDD52FB807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Sheet2!$A$24:$A$27</c:f>
              <c:strCache>
                <c:ptCount val="3"/>
                <c:pt idx="0">
                  <c:v>Dien thoai</c:v>
                </c:pt>
                <c:pt idx="1">
                  <c:v>May tinh bang</c:v>
                </c:pt>
                <c:pt idx="2">
                  <c:v>Phu kien</c:v>
                </c:pt>
              </c:strCache>
            </c:strRef>
          </c:cat>
          <c:val>
            <c:numRef>
              <c:f>Sheet2!$B$24:$B$27</c:f>
              <c:numCache>
                <c:formatCode>General</c:formatCode>
                <c:ptCount val="3"/>
                <c:pt idx="0">
                  <c:v>2637160000</c:v>
                </c:pt>
                <c:pt idx="1">
                  <c:v>1136790000</c:v>
                </c:pt>
                <c:pt idx="2">
                  <c:v>517710000</c:v>
                </c:pt>
              </c:numCache>
            </c:numRef>
          </c:val>
          <c:extLst>
            <c:ext xmlns:c16="http://schemas.microsoft.com/office/drawing/2014/chart" uri="{C3380CC4-5D6E-409C-BE32-E72D297353CC}">
              <c16:uniqueId val="{00000006-28E1-4407-BA9E-CDD52FB807C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[Dataset_SS12_Bai1_MobilePlus.xlsx]Sheet2!PivotTable3</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c:f>
              <c:strCache>
                <c:ptCount val="1"/>
                <c:pt idx="0">
                  <c:v>Sum of Qty</c:v>
                </c:pt>
              </c:strCache>
            </c:strRef>
          </c:tx>
          <c:spPr>
            <a:ln w="28575" cap="rnd">
              <a:solidFill>
                <a:schemeClr val="accent1"/>
              </a:solidFill>
              <a:round/>
            </a:ln>
            <a:effectLst/>
          </c:spPr>
          <c:marker>
            <c:symbol val="none"/>
          </c:marker>
          <c:cat>
            <c:strRef>
              <c:f>Sheet2!$G$4:$G$20</c:f>
              <c:strCache>
                <c:ptCount val="16"/>
                <c:pt idx="0">
                  <c:v>2</c:v>
                </c:pt>
                <c:pt idx="1">
                  <c:v>7</c:v>
                </c:pt>
                <c:pt idx="2">
                  <c:v>11</c:v>
                </c:pt>
                <c:pt idx="3">
                  <c:v>15</c:v>
                </c:pt>
                <c:pt idx="4">
                  <c:v>20</c:v>
                </c:pt>
                <c:pt idx="5">
                  <c:v>24</c:v>
                </c:pt>
                <c:pt idx="6">
                  <c:v>28</c:v>
                </c:pt>
                <c:pt idx="7">
                  <c:v>33</c:v>
                </c:pt>
                <c:pt idx="8">
                  <c:v>37</c:v>
                </c:pt>
                <c:pt idx="9">
                  <c:v>41</c:v>
                </c:pt>
                <c:pt idx="10">
                  <c:v>46</c:v>
                </c:pt>
                <c:pt idx="11">
                  <c:v>49</c:v>
                </c:pt>
                <c:pt idx="12">
                  <c:v>50</c:v>
                </c:pt>
                <c:pt idx="13">
                  <c:v>51</c:v>
                </c:pt>
                <c:pt idx="14">
                  <c:v>52</c:v>
                </c:pt>
                <c:pt idx="15">
                  <c:v>53</c:v>
                </c:pt>
              </c:strCache>
            </c:strRef>
          </c:cat>
          <c:val>
            <c:numRef>
              <c:f>Sheet2!$H$4:$H$20</c:f>
              <c:numCache>
                <c:formatCode>General</c:formatCode>
                <c:ptCount val="16"/>
                <c:pt idx="0">
                  <c:v>9</c:v>
                </c:pt>
                <c:pt idx="1">
                  <c:v>2</c:v>
                </c:pt>
                <c:pt idx="2">
                  <c:v>9</c:v>
                </c:pt>
                <c:pt idx="3">
                  <c:v>12</c:v>
                </c:pt>
                <c:pt idx="4">
                  <c:v>4</c:v>
                </c:pt>
                <c:pt idx="5">
                  <c:v>4</c:v>
                </c:pt>
                <c:pt idx="6">
                  <c:v>0</c:v>
                </c:pt>
                <c:pt idx="7">
                  <c:v>10</c:v>
                </c:pt>
                <c:pt idx="8">
                  <c:v>0</c:v>
                </c:pt>
                <c:pt idx="9">
                  <c:v>5</c:v>
                </c:pt>
                <c:pt idx="10">
                  <c:v>3</c:v>
                </c:pt>
                <c:pt idx="11">
                  <c:v>44</c:v>
                </c:pt>
                <c:pt idx="12">
                  <c:v>52</c:v>
                </c:pt>
                <c:pt idx="13">
                  <c:v>97</c:v>
                </c:pt>
                <c:pt idx="14">
                  <c:v>105</c:v>
                </c:pt>
                <c:pt idx="15">
                  <c:v>33</c:v>
                </c:pt>
              </c:numCache>
            </c:numRef>
          </c:val>
          <c:smooth val="0"/>
          <c:extLst>
            <c:ext xmlns:c16="http://schemas.microsoft.com/office/drawing/2014/chart" uri="{C3380CC4-5D6E-409C-BE32-E72D297353CC}">
              <c16:uniqueId val="{00000000-2BA5-41E0-92D0-62901E890EC1}"/>
            </c:ext>
          </c:extLst>
        </c:ser>
        <c:ser>
          <c:idx val="1"/>
          <c:order val="1"/>
          <c:tx>
            <c:strRef>
              <c:f>Sheet2!$I$3</c:f>
              <c:strCache>
                <c:ptCount val="1"/>
                <c:pt idx="0">
                  <c:v>Sum of Doanh thu</c:v>
                </c:pt>
              </c:strCache>
            </c:strRef>
          </c:tx>
          <c:spPr>
            <a:ln w="28575" cap="rnd">
              <a:solidFill>
                <a:schemeClr val="accent2"/>
              </a:solidFill>
              <a:round/>
            </a:ln>
            <a:effectLst/>
          </c:spPr>
          <c:marker>
            <c:symbol val="none"/>
          </c:marker>
          <c:cat>
            <c:strRef>
              <c:f>Sheet2!$G$4:$G$20</c:f>
              <c:strCache>
                <c:ptCount val="16"/>
                <c:pt idx="0">
                  <c:v>2</c:v>
                </c:pt>
                <c:pt idx="1">
                  <c:v>7</c:v>
                </c:pt>
                <c:pt idx="2">
                  <c:v>11</c:v>
                </c:pt>
                <c:pt idx="3">
                  <c:v>15</c:v>
                </c:pt>
                <c:pt idx="4">
                  <c:v>20</c:v>
                </c:pt>
                <c:pt idx="5">
                  <c:v>24</c:v>
                </c:pt>
                <c:pt idx="6">
                  <c:v>28</c:v>
                </c:pt>
                <c:pt idx="7">
                  <c:v>33</c:v>
                </c:pt>
                <c:pt idx="8">
                  <c:v>37</c:v>
                </c:pt>
                <c:pt idx="9">
                  <c:v>41</c:v>
                </c:pt>
                <c:pt idx="10">
                  <c:v>46</c:v>
                </c:pt>
                <c:pt idx="11">
                  <c:v>49</c:v>
                </c:pt>
                <c:pt idx="12">
                  <c:v>50</c:v>
                </c:pt>
                <c:pt idx="13">
                  <c:v>51</c:v>
                </c:pt>
                <c:pt idx="14">
                  <c:v>52</c:v>
                </c:pt>
                <c:pt idx="15">
                  <c:v>53</c:v>
                </c:pt>
              </c:strCache>
            </c:strRef>
          </c:cat>
          <c:val>
            <c:numRef>
              <c:f>Sheet2!$I$4:$I$20</c:f>
              <c:numCache>
                <c:formatCode>General</c:formatCode>
                <c:ptCount val="16"/>
                <c:pt idx="0">
                  <c:v>22230000</c:v>
                </c:pt>
                <c:pt idx="1">
                  <c:v>32580000</c:v>
                </c:pt>
                <c:pt idx="2">
                  <c:v>91320000</c:v>
                </c:pt>
                <c:pt idx="3">
                  <c:v>28500000</c:v>
                </c:pt>
                <c:pt idx="4">
                  <c:v>34280000</c:v>
                </c:pt>
                <c:pt idx="5">
                  <c:v>84960000</c:v>
                </c:pt>
                <c:pt idx="6">
                  <c:v>280000</c:v>
                </c:pt>
                <c:pt idx="7">
                  <c:v>19180000</c:v>
                </c:pt>
                <c:pt idx="8">
                  <c:v>67960000</c:v>
                </c:pt>
                <c:pt idx="9">
                  <c:v>75600000</c:v>
                </c:pt>
                <c:pt idx="10">
                  <c:v>53570000</c:v>
                </c:pt>
                <c:pt idx="11">
                  <c:v>623380000</c:v>
                </c:pt>
                <c:pt idx="12">
                  <c:v>721350000</c:v>
                </c:pt>
                <c:pt idx="13">
                  <c:v>1007250000</c:v>
                </c:pt>
                <c:pt idx="14">
                  <c:v>1048420000</c:v>
                </c:pt>
                <c:pt idx="15">
                  <c:v>380800000</c:v>
                </c:pt>
              </c:numCache>
            </c:numRef>
          </c:val>
          <c:smooth val="0"/>
          <c:extLst>
            <c:ext xmlns:c16="http://schemas.microsoft.com/office/drawing/2014/chart" uri="{C3380CC4-5D6E-409C-BE32-E72D297353CC}">
              <c16:uniqueId val="{00000001-2BA5-41E0-92D0-62901E890EC1}"/>
            </c:ext>
          </c:extLst>
        </c:ser>
        <c:dLbls>
          <c:showLegendKey val="0"/>
          <c:showVal val="0"/>
          <c:showCatName val="0"/>
          <c:showSerName val="0"/>
          <c:showPercent val="0"/>
          <c:showBubbleSize val="0"/>
        </c:dLbls>
        <c:smooth val="0"/>
        <c:axId val="514100384"/>
        <c:axId val="514101104"/>
      </c:lineChart>
      <c:catAx>
        <c:axId val="5141003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Tuần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14101104"/>
        <c:crosses val="autoZero"/>
        <c:auto val="1"/>
        <c:lblAlgn val="ctr"/>
        <c:lblOffset val="100"/>
        <c:noMultiLvlLbl val="0"/>
      </c:catAx>
      <c:valAx>
        <c:axId val="51410110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Doanh Thu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1410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5 Sản phẩm Bán chạy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Sheet2!$H$23</c:f>
              <c:strCache>
                <c:ptCount val="1"/>
                <c:pt idx="0">
                  <c:v>Total</c:v>
                </c:pt>
              </c:strCache>
            </c:strRef>
          </c:tx>
          <c:spPr>
            <a:solidFill>
              <a:schemeClr val="accent1"/>
            </a:solidFill>
            <a:ln>
              <a:noFill/>
            </a:ln>
            <a:effectLst/>
          </c:spPr>
          <c:invertIfNegative val="0"/>
          <c:cat>
            <c:strRef>
              <c:f>Sheet2!$G$24:$G$29</c:f>
              <c:strCache>
                <c:ptCount val="5"/>
                <c:pt idx="0">
                  <c:v>Apple Watch SE</c:v>
                </c:pt>
                <c:pt idx="1">
                  <c:v>Cap sac Type-C</c:v>
                </c:pt>
                <c:pt idx="2">
                  <c:v>Galaxy Buds2 Pro</c:v>
                </c:pt>
                <c:pt idx="3">
                  <c:v>Sac du phong 20000mAh</c:v>
                </c:pt>
                <c:pt idx="4">
                  <c:v>iPad Gen 10</c:v>
                </c:pt>
              </c:strCache>
            </c:strRef>
          </c:cat>
          <c:val>
            <c:numRef>
              <c:f>Sheet2!$H$24:$H$29</c:f>
              <c:numCache>
                <c:formatCode>General</c:formatCode>
                <c:ptCount val="5"/>
                <c:pt idx="0">
                  <c:v>35</c:v>
                </c:pt>
                <c:pt idx="1">
                  <c:v>31</c:v>
                </c:pt>
                <c:pt idx="2">
                  <c:v>29</c:v>
                </c:pt>
                <c:pt idx="3">
                  <c:v>22</c:v>
                </c:pt>
                <c:pt idx="4">
                  <c:v>22</c:v>
                </c:pt>
              </c:numCache>
            </c:numRef>
          </c:val>
          <c:extLst>
            <c:ext xmlns:c16="http://schemas.microsoft.com/office/drawing/2014/chart" uri="{C3380CC4-5D6E-409C-BE32-E72D297353CC}">
              <c16:uniqueId val="{00000000-7EC5-422D-901D-036B5F7FE49C}"/>
            </c:ext>
          </c:extLst>
        </c:ser>
        <c:dLbls>
          <c:showLegendKey val="0"/>
          <c:showVal val="0"/>
          <c:showCatName val="0"/>
          <c:showSerName val="0"/>
          <c:showPercent val="0"/>
          <c:showBubbleSize val="0"/>
        </c:dLbls>
        <c:gapWidth val="182"/>
        <c:axId val="514087064"/>
        <c:axId val="514091384"/>
      </c:barChart>
      <c:catAx>
        <c:axId val="514087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91384"/>
        <c:crosses val="autoZero"/>
        <c:auto val="1"/>
        <c:lblAlgn val="ctr"/>
        <c:lblOffset val="100"/>
        <c:noMultiLvlLbl val="0"/>
      </c:catAx>
      <c:valAx>
        <c:axId val="514091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87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xdr:colOff>
      <xdr:row>7</xdr:row>
      <xdr:rowOff>180975</xdr:rowOff>
    </xdr:from>
    <xdr:to>
      <xdr:col>5</xdr:col>
      <xdr:colOff>571500</xdr:colOff>
      <xdr:row>20</xdr:row>
      <xdr:rowOff>95250</xdr:rowOff>
    </xdr:to>
    <xdr:graphicFrame macro="">
      <xdr:nvGraphicFramePr>
        <xdr:cNvPr id="2" name="Chart 1">
          <a:extLst>
            <a:ext uri="{FF2B5EF4-FFF2-40B4-BE49-F238E27FC236}">
              <a16:creationId xmlns:a16="http://schemas.microsoft.com/office/drawing/2014/main" id="{481CD7C1-032A-0D8A-A002-C53DB826F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27</xdr:row>
      <xdr:rowOff>57151</xdr:rowOff>
    </xdr:from>
    <xdr:to>
      <xdr:col>5</xdr:col>
      <xdr:colOff>381000</xdr:colOff>
      <xdr:row>40</xdr:row>
      <xdr:rowOff>76201</xdr:rowOff>
    </xdr:to>
    <xdr:graphicFrame macro="">
      <xdr:nvGraphicFramePr>
        <xdr:cNvPr id="3" name="Chart 2">
          <a:extLst>
            <a:ext uri="{FF2B5EF4-FFF2-40B4-BE49-F238E27FC236}">
              <a16:creationId xmlns:a16="http://schemas.microsoft.com/office/drawing/2014/main" id="{7D459A2F-7696-CBFC-53E3-773577637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123825</xdr:colOff>
      <xdr:row>2</xdr:row>
      <xdr:rowOff>47625</xdr:rowOff>
    </xdr:from>
    <xdr:to>
      <xdr:col>15</xdr:col>
      <xdr:colOff>561975</xdr:colOff>
      <xdr:row>14</xdr:row>
      <xdr:rowOff>142875</xdr:rowOff>
    </xdr:to>
    <xdr:graphicFrame macro="">
      <xdr:nvGraphicFramePr>
        <xdr:cNvPr id="5" name="Chart 4">
          <a:extLst>
            <a:ext uri="{FF2B5EF4-FFF2-40B4-BE49-F238E27FC236}">
              <a16:creationId xmlns:a16="http://schemas.microsoft.com/office/drawing/2014/main" id="{3E5F67ED-4282-66CF-8F00-44C42A7AC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276225</xdr:colOff>
      <xdr:row>22</xdr:row>
      <xdr:rowOff>47625</xdr:rowOff>
    </xdr:from>
    <xdr:to>
      <xdr:col>14</xdr:col>
      <xdr:colOff>314325</xdr:colOff>
      <xdr:row>35</xdr:row>
      <xdr:rowOff>66675</xdr:rowOff>
    </xdr:to>
    <xdr:graphicFrame macro="">
      <xdr:nvGraphicFramePr>
        <xdr:cNvPr id="6" name="Chart 5">
          <a:extLst>
            <a:ext uri="{FF2B5EF4-FFF2-40B4-BE49-F238E27FC236}">
              <a16:creationId xmlns:a16="http://schemas.microsoft.com/office/drawing/2014/main" id="{BA119E59-8CF0-24E7-353D-14AEF1E12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190500</xdr:colOff>
      <xdr:row>0</xdr:row>
      <xdr:rowOff>1</xdr:rowOff>
    </xdr:from>
    <xdr:to>
      <xdr:col>5</xdr:col>
      <xdr:colOff>190500</xdr:colOff>
      <xdr:row>7</xdr:row>
      <xdr:rowOff>1</xdr:rowOff>
    </xdr:to>
    <mc:AlternateContent xmlns:mc="http://schemas.openxmlformats.org/markup-compatibility/2006">
      <mc:Choice xmlns:a14="http://schemas.microsoft.com/office/drawing/2010/main" Requires="a14">
        <xdr:graphicFrame macro="">
          <xdr:nvGraphicFramePr>
            <xdr:cNvPr id="7" name="Chi_Nhanh">
              <a:extLst>
                <a:ext uri="{FF2B5EF4-FFF2-40B4-BE49-F238E27FC236}">
                  <a16:creationId xmlns:a16="http://schemas.microsoft.com/office/drawing/2014/main" id="{3B575AAE-DDD0-F7C1-1A86-EAD2E2540E41}"/>
                </a:ext>
              </a:extLst>
            </xdr:cNvPr>
            <xdr:cNvGraphicFramePr/>
          </xdr:nvGraphicFramePr>
          <xdr:xfrm>
            <a:off x="0" y="0"/>
            <a:ext cx="0" cy="0"/>
          </xdr:xfrm>
          <a:graphic>
            <a:graphicData uri="http://schemas.microsoft.com/office/drawing/2010/slicer">
              <sle:slicer xmlns:sle="http://schemas.microsoft.com/office/drawing/2010/slicer" name="Chi_Nhanh"/>
            </a:graphicData>
          </a:graphic>
        </xdr:graphicFrame>
      </mc:Choice>
      <mc:Fallback>
        <xdr:sp macro="" textlink="">
          <xdr:nvSpPr>
            <xdr:cNvPr id="0" name=""/>
            <xdr:cNvSpPr>
              <a:spLocks noTextEdit="1"/>
            </xdr:cNvSpPr>
          </xdr:nvSpPr>
          <xdr:spPr>
            <a:xfrm>
              <a:off x="2219325" y="1"/>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180975</xdr:colOff>
      <xdr:row>21</xdr:row>
      <xdr:rowOff>9525</xdr:rowOff>
    </xdr:from>
    <xdr:to>
      <xdr:col>5</xdr:col>
      <xdr:colOff>180975</xdr:colOff>
      <xdr:row>27</xdr:row>
      <xdr:rowOff>0</xdr:rowOff>
    </xdr:to>
    <mc:AlternateContent xmlns:mc="http://schemas.openxmlformats.org/markup-compatibility/2006">
      <mc:Choice xmlns:a14="http://schemas.microsoft.com/office/drawing/2010/main" Requires="a14">
        <xdr:graphicFrame macro="">
          <xdr:nvGraphicFramePr>
            <xdr:cNvPr id="8" name="Danh_Muc">
              <a:extLst>
                <a:ext uri="{FF2B5EF4-FFF2-40B4-BE49-F238E27FC236}">
                  <a16:creationId xmlns:a16="http://schemas.microsoft.com/office/drawing/2014/main" id="{8FB528B1-7C85-A069-55EF-A9935A4BA9AA}"/>
                </a:ext>
              </a:extLst>
            </xdr:cNvPr>
            <xdr:cNvGraphicFramePr/>
          </xdr:nvGraphicFramePr>
          <xdr:xfrm>
            <a:off x="0" y="0"/>
            <a:ext cx="0" cy="0"/>
          </xdr:xfrm>
          <a:graphic>
            <a:graphicData uri="http://schemas.microsoft.com/office/drawing/2010/slicer">
              <sle:slicer xmlns:sle="http://schemas.microsoft.com/office/drawing/2010/slicer" name="Danh_Muc"/>
            </a:graphicData>
          </a:graphic>
        </xdr:graphicFrame>
      </mc:Choice>
      <mc:Fallback>
        <xdr:sp macro="" textlink="">
          <xdr:nvSpPr>
            <xdr:cNvPr id="0" name=""/>
            <xdr:cNvSpPr>
              <a:spLocks noTextEdit="1"/>
            </xdr:cNvSpPr>
          </xdr:nvSpPr>
          <xdr:spPr>
            <a:xfrm>
              <a:off x="2209800" y="401002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1</xdr:rowOff>
    </xdr:from>
    <xdr:to>
      <xdr:col>7</xdr:col>
      <xdr:colOff>114300</xdr:colOff>
      <xdr:row>26</xdr:row>
      <xdr:rowOff>1</xdr:rowOff>
    </xdr:to>
    <xdr:graphicFrame macro="">
      <xdr:nvGraphicFramePr>
        <xdr:cNvPr id="2" name="Chart 1">
          <a:extLst>
            <a:ext uri="{FF2B5EF4-FFF2-40B4-BE49-F238E27FC236}">
              <a16:creationId xmlns:a16="http://schemas.microsoft.com/office/drawing/2014/main" id="{1D4E27DE-F49F-49DF-AAEB-C796CF618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14</xdr:row>
      <xdr:rowOff>0</xdr:rowOff>
    </xdr:from>
    <xdr:to>
      <xdr:col>14</xdr:col>
      <xdr:colOff>104775</xdr:colOff>
      <xdr:row>26</xdr:row>
      <xdr:rowOff>0</xdr:rowOff>
    </xdr:to>
    <xdr:graphicFrame macro="">
      <xdr:nvGraphicFramePr>
        <xdr:cNvPr id="3" name="Chart 2">
          <a:extLst>
            <a:ext uri="{FF2B5EF4-FFF2-40B4-BE49-F238E27FC236}">
              <a16:creationId xmlns:a16="http://schemas.microsoft.com/office/drawing/2014/main" id="{9FE3936B-9682-4CD7-ACDC-B71983640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7</xdr:col>
      <xdr:colOff>123824</xdr:colOff>
      <xdr:row>39</xdr:row>
      <xdr:rowOff>0</xdr:rowOff>
    </xdr:to>
    <xdr:graphicFrame macro="">
      <xdr:nvGraphicFramePr>
        <xdr:cNvPr id="4" name="Chart 3">
          <a:extLst>
            <a:ext uri="{FF2B5EF4-FFF2-40B4-BE49-F238E27FC236}">
              <a16:creationId xmlns:a16="http://schemas.microsoft.com/office/drawing/2014/main" id="{0314ED3D-15F6-4E2E-AEA0-C7A3EA508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200025</xdr:colOff>
      <xdr:row>27</xdr:row>
      <xdr:rowOff>1</xdr:rowOff>
    </xdr:from>
    <xdr:to>
      <xdr:col>14</xdr:col>
      <xdr:colOff>142875</xdr:colOff>
      <xdr:row>39</xdr:row>
      <xdr:rowOff>1</xdr:rowOff>
    </xdr:to>
    <xdr:graphicFrame macro="">
      <xdr:nvGraphicFramePr>
        <xdr:cNvPr id="5" name="Chart 4">
          <a:extLst>
            <a:ext uri="{FF2B5EF4-FFF2-40B4-BE49-F238E27FC236}">
              <a16:creationId xmlns:a16="http://schemas.microsoft.com/office/drawing/2014/main" id="{2CBC4021-0277-4C1C-BA5B-46DB1946B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14</xdr:row>
      <xdr:rowOff>0</xdr:rowOff>
    </xdr:from>
    <xdr:to>
      <xdr:col>18</xdr:col>
      <xdr:colOff>0</xdr:colOff>
      <xdr:row>25</xdr:row>
      <xdr:rowOff>180975</xdr:rowOff>
    </xdr:to>
    <mc:AlternateContent xmlns:mc="http://schemas.openxmlformats.org/markup-compatibility/2006">
      <mc:Choice xmlns:a14="http://schemas.microsoft.com/office/drawing/2010/main" Requires="a14">
        <xdr:graphicFrame macro="">
          <xdr:nvGraphicFramePr>
            <xdr:cNvPr id="7" name="Chi_Nhanh 1">
              <a:extLst>
                <a:ext uri="{FF2B5EF4-FFF2-40B4-BE49-F238E27FC236}">
                  <a16:creationId xmlns:a16="http://schemas.microsoft.com/office/drawing/2014/main" id="{1FA7C842-22C3-4359-9533-9AA11D35B989}"/>
                </a:ext>
              </a:extLst>
            </xdr:cNvPr>
            <xdr:cNvGraphicFramePr/>
          </xdr:nvGraphicFramePr>
          <xdr:xfrm>
            <a:off x="0" y="0"/>
            <a:ext cx="0" cy="0"/>
          </xdr:xfrm>
          <a:graphic>
            <a:graphicData uri="http://schemas.microsoft.com/office/drawing/2010/slicer">
              <sle:slicer xmlns:sle="http://schemas.microsoft.com/office/drawing/2010/slicer" name="Chi_Nhanh 1"/>
            </a:graphicData>
          </a:graphic>
        </xdr:graphicFrame>
      </mc:Choice>
      <mc:Fallback>
        <xdr:sp macro="" textlink="">
          <xdr:nvSpPr>
            <xdr:cNvPr id="0" name=""/>
            <xdr:cNvSpPr>
              <a:spLocks noTextEdit="1"/>
            </xdr:cNvSpPr>
          </xdr:nvSpPr>
          <xdr:spPr>
            <a:xfrm>
              <a:off x="9144000" y="2667000"/>
              <a:ext cx="1828800"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27</xdr:row>
      <xdr:rowOff>0</xdr:rowOff>
    </xdr:from>
    <xdr:to>
      <xdr:col>17</xdr:col>
      <xdr:colOff>600075</xdr:colOff>
      <xdr:row>38</xdr:row>
      <xdr:rowOff>180976</xdr:rowOff>
    </xdr:to>
    <mc:AlternateContent xmlns:mc="http://schemas.openxmlformats.org/markup-compatibility/2006">
      <mc:Choice xmlns:a14="http://schemas.microsoft.com/office/drawing/2010/main" Requires="a14">
        <xdr:graphicFrame macro="">
          <xdr:nvGraphicFramePr>
            <xdr:cNvPr id="8" name="Danh_Muc 1">
              <a:extLst>
                <a:ext uri="{FF2B5EF4-FFF2-40B4-BE49-F238E27FC236}">
                  <a16:creationId xmlns:a16="http://schemas.microsoft.com/office/drawing/2014/main" id="{0BE58D34-11B9-4E52-AFCD-0D3D6D50F74B}"/>
                </a:ext>
              </a:extLst>
            </xdr:cNvPr>
            <xdr:cNvGraphicFramePr/>
          </xdr:nvGraphicFramePr>
          <xdr:xfrm>
            <a:off x="0" y="0"/>
            <a:ext cx="0" cy="0"/>
          </xdr:xfrm>
          <a:graphic>
            <a:graphicData uri="http://schemas.microsoft.com/office/drawing/2010/slicer">
              <sle:slicer xmlns:sle="http://schemas.microsoft.com/office/drawing/2010/slicer" name="Danh_Muc 1"/>
            </a:graphicData>
          </a:graphic>
        </xdr:graphicFrame>
      </mc:Choice>
      <mc:Fallback>
        <xdr:sp macro="" textlink="">
          <xdr:nvSpPr>
            <xdr:cNvPr id="0" name=""/>
            <xdr:cNvSpPr>
              <a:spLocks noTextEdit="1"/>
            </xdr:cNvSpPr>
          </xdr:nvSpPr>
          <xdr:spPr>
            <a:xfrm>
              <a:off x="9134475" y="5143500"/>
              <a:ext cx="1828800" cy="2276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50.312390624997" createdVersion="8" refreshedVersion="8" minRefreshableVersion="3" recordCount="280" xr:uid="{9720BBC7-7F51-4C54-A346-E19AF2FDE83F}">
  <cacheSource type="worksheet">
    <worksheetSource ref="A1:L281" sheet="Sheet1"/>
  </cacheSource>
  <cacheFields count="12">
    <cacheField name="Mã đơn" numFmtId="0">
      <sharedItems/>
    </cacheField>
    <cacheField name="Họ tên" numFmtId="0">
      <sharedItems/>
    </cacheField>
    <cacheField name="Số điện thoại" numFmtId="0">
      <sharedItems containsSemiMixedTypes="0" containsString="0" containsNumber="1" containsInteger="1" minValue="910344303" maxValue="999600766"/>
    </cacheField>
    <cacheField name="Price" numFmtId="0">
      <sharedItems containsSemiMixedTypes="0" containsString="0" containsNumber="1" containsInteger="1" minValue="80000" maxValue="28990000"/>
    </cacheField>
    <cacheField name="Qty" numFmtId="0">
      <sharedItems containsMixedTypes="1" containsNumber="1" containsInteger="1" minValue="1" maxValue="5"/>
    </cacheField>
    <cacheField name="Doanh thu" numFmtId="0">
      <sharedItems containsSemiMixedTypes="0" containsString="0" containsNumber="1" containsInteger="1" minValue="80000" maxValue="57980000"/>
    </cacheField>
    <cacheField name="Tháng" numFmtId="0">
      <sharedItems containsSemiMixedTypes="0" containsString="0" containsNumber="1" containsInteger="1" minValue="1" maxValue="12"/>
    </cacheField>
    <cacheField name="Tuần" numFmtId="0">
      <sharedItems containsSemiMixedTypes="0" containsString="0" containsNumber="1" containsInteger="1" minValue="2" maxValue="53"/>
    </cacheField>
    <cacheField name="Date" numFmtId="165">
      <sharedItems containsSemiMixedTypes="0" containsNonDate="0" containsDate="1" containsString="0" minDate="2024-01-12T00:00:00" maxDate="2025-01-01T00:00:00"/>
    </cacheField>
    <cacheField name="Chi_Nhanh" numFmtId="0">
      <sharedItems count="3">
        <s v="Long Bien"/>
        <s v="Dong Da"/>
        <s v="Cau Giay"/>
      </sharedItems>
    </cacheField>
    <cacheField name="Danh_Muc" numFmtId="0">
      <sharedItems/>
    </cacheField>
    <cacheField name="Ten_SP" numFmtId="0">
      <sharedItems/>
    </cacheField>
  </cacheFields>
  <extLst>
    <ext xmlns:x14="http://schemas.microsoft.com/office/spreadsheetml/2009/9/main" uri="{725AE2AE-9491-48be-B2B4-4EB974FC3084}">
      <x14:pivotCacheDefinition pivotCacheId="1394402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50.316331365742" createdVersion="8" refreshedVersion="8" minRefreshableVersion="3" recordCount="280" xr:uid="{53264BD9-9DE4-465C-AE3F-8797F73DB1A8}">
  <cacheSource type="worksheet">
    <worksheetSource name="Table2"/>
  </cacheSource>
  <cacheFields count="12">
    <cacheField name="Mã đơn" numFmtId="0">
      <sharedItems/>
    </cacheField>
    <cacheField name="Họ tên" numFmtId="0">
      <sharedItems/>
    </cacheField>
    <cacheField name="Số điện thoại" numFmtId="0">
      <sharedItems containsSemiMixedTypes="0" containsString="0" containsNumber="1" containsInteger="1" minValue="910344303" maxValue="999600766"/>
    </cacheField>
    <cacheField name="Price" numFmtId="0">
      <sharedItems containsSemiMixedTypes="0" containsString="0" containsNumber="1" containsInteger="1" minValue="80000" maxValue="28990000"/>
    </cacheField>
    <cacheField name="Qty" numFmtId="0">
      <sharedItems containsMixedTypes="1" containsNumber="1" containsInteger="1" minValue="1" maxValue="5"/>
    </cacheField>
    <cacheField name="Doanh thu" numFmtId="0">
      <sharedItems containsSemiMixedTypes="0" containsString="0" containsNumber="1" containsInteger="1" minValue="80000" maxValue="57980000"/>
    </cacheField>
    <cacheField name="Tháng" numFmtId="0">
      <sharedItems containsSemiMixedTypes="0" containsString="0" containsNumber="1" containsInteger="1" minValue="1" maxValue="12"/>
    </cacheField>
    <cacheField name="Tuần" numFmtId="0">
      <sharedItems containsSemiMixedTypes="0" containsString="0" containsNumber="1" containsInteger="1" minValue="2" maxValue="53" count="16">
        <n v="52"/>
        <n v="11"/>
        <n v="50"/>
        <n v="49"/>
        <n v="15"/>
        <n v="51"/>
        <n v="53"/>
        <n v="2"/>
        <n v="37"/>
        <n v="20"/>
        <n v="46"/>
        <n v="41"/>
        <n v="28"/>
        <n v="7"/>
        <n v="24"/>
        <n v="33"/>
      </sharedItems>
    </cacheField>
    <cacheField name="Date" numFmtId="165">
      <sharedItems containsSemiMixedTypes="0" containsNonDate="0" containsDate="1" containsString="0" minDate="2024-01-12T00:00:00" maxDate="2025-01-01T00:00:00"/>
    </cacheField>
    <cacheField name="Chi_Nhanh" numFmtId="0">
      <sharedItems/>
    </cacheField>
    <cacheField name="Danh_Muc" numFmtId="0">
      <sharedItems count="3">
        <s v="Dien thoai"/>
        <s v="Phu kien"/>
        <s v="May tinh bang"/>
      </sharedItems>
    </cacheField>
    <cacheField name="Ten_SP" numFmtId="0">
      <sharedItems count="25">
        <s v="Vivo V29"/>
        <s v="Op lung Samsung"/>
        <s v="OPPO Find X6"/>
        <s v="Samsung S24"/>
        <s v="Mieng dan man hinh"/>
        <s v="Xiaomi 14"/>
        <s v="iPhone 15 Pro Max"/>
        <s v="iPad Air"/>
        <s v="iPad Gen 10"/>
        <s v="Lenovo Tab M10"/>
        <s v="Tai nghe co day"/>
        <s v="Sac du phong 20000mAh"/>
        <s v="Galaxy Buds2 Pro"/>
        <s v="Samsung Tab A9"/>
        <s v="Samsung S24 Ultra"/>
        <s v="Cap sac Type-C"/>
        <s v="AirPods 3"/>
        <s v="Apple Watch SE"/>
        <s v="Realme 12 Pro"/>
        <s v="iPhone 15"/>
        <s v="Sac du phong 10000mAh"/>
        <s v="Cap sac Lightning"/>
        <s v="Xiaomi Pad 6"/>
        <s v="Tai nghe Bluetooth"/>
        <s v="iPhone 15 Pro"/>
      </sharedItems>
    </cacheField>
  </cacheFields>
  <extLst>
    <ext xmlns:x14="http://schemas.microsoft.com/office/spreadsheetml/2009/9/main" uri="{725AE2AE-9491-48be-B2B4-4EB974FC3084}">
      <x14:pivotCacheDefinition pivotCacheId="1392998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DH244] "/>
    <s v=" Tran Minh Uy "/>
    <n v="948824283"/>
    <n v="9990000"/>
    <n v="2"/>
    <n v="19980000"/>
    <n v="12"/>
    <n v="52"/>
    <d v="2024-12-27T00:00:00"/>
    <x v="0"/>
    <s v="Dien thoai"/>
    <s v="Vivo V29"/>
  </r>
  <r>
    <s v="[DH150] "/>
    <s v=" Quach Thanh Minh "/>
    <n v="930261159"/>
    <n v="350000"/>
    <n v="4"/>
    <n v="1400000"/>
    <n v="3"/>
    <n v="11"/>
    <d v="2024-03-12T00:00:00"/>
    <x v="1"/>
    <s v="Phu kien"/>
    <s v="Op lung Samsung"/>
  </r>
  <r>
    <s v="[DH255] "/>
    <s v=" Tang Kim Lan "/>
    <n v="930456313"/>
    <n v="18990000"/>
    <s v="2"/>
    <n v="37980000"/>
    <n v="12"/>
    <n v="50"/>
    <d v="2024-12-11T00:00:00"/>
    <x v="1"/>
    <s v="Dien thoai"/>
    <s v="OPPO Find X6"/>
  </r>
  <r>
    <s v="[DH001] "/>
    <s v=" Pham Van Kien "/>
    <n v="942868828"/>
    <n v="9990000"/>
    <s v="1"/>
    <n v="9990000"/>
    <n v="12"/>
    <n v="49"/>
    <d v="2024-12-05T00:00:00"/>
    <x v="0"/>
    <s v="Dien thoai"/>
    <s v="Vivo V29"/>
  </r>
  <r>
    <s v="[DH024] "/>
    <s v=" Pham Van Phuc "/>
    <n v="955540424"/>
    <n v="18990000"/>
    <s v="1"/>
    <n v="18990000"/>
    <n v="12"/>
    <n v="50"/>
    <d v="2024-12-08T00:00:00"/>
    <x v="1"/>
    <s v="Dien thoai"/>
    <s v="Samsung S24"/>
  </r>
  <r>
    <s v="[DH225] "/>
    <s v=" Tran Van Lan "/>
    <n v="986230551"/>
    <n v="80000"/>
    <n v="3"/>
    <n v="240000"/>
    <n v="4"/>
    <n v="15"/>
    <d v="2024-04-12T00:00:00"/>
    <x v="0"/>
    <s v="Phu kien"/>
    <s v="Mieng dan man hinh"/>
  </r>
  <r>
    <s v="[DH012] "/>
    <s v=" Duong Ngoc Cuong "/>
    <n v="916323852"/>
    <n v="18990000"/>
    <s v="1"/>
    <n v="18990000"/>
    <n v="12"/>
    <n v="49"/>
    <d v="2024-12-05T00:00:00"/>
    <x v="2"/>
    <s v="Dien thoai"/>
    <s v="Samsung S24"/>
  </r>
  <r>
    <s v="[DH029] "/>
    <s v=" Tang Ngoc Uy "/>
    <n v="981286543"/>
    <n v="15990000"/>
    <n v="1"/>
    <n v="15990000"/>
    <n v="12"/>
    <n v="49"/>
    <d v="2024-12-02T00:00:00"/>
    <x v="2"/>
    <s v="Dien thoai"/>
    <s v="Xiaomi 14"/>
  </r>
  <r>
    <s v="[DH067] "/>
    <s v=" Tang Kim Phuc "/>
    <n v="936619372"/>
    <n v="28990000"/>
    <n v="1"/>
    <n v="28990000"/>
    <n v="12"/>
    <n v="51"/>
    <d v="2024-12-19T00:00:00"/>
    <x v="1"/>
    <s v="Dien thoai"/>
    <s v="iPhone 15 Pro Max"/>
  </r>
  <r>
    <s v="[DH020] "/>
    <s v=" Pham Hong Hanh "/>
    <n v="918593410"/>
    <n v="18490000"/>
    <s v="1"/>
    <n v="18490000"/>
    <n v="12"/>
    <n v="49"/>
    <d v="2024-12-01T00:00:00"/>
    <x v="2"/>
    <s v="May tinh bang"/>
    <s v="iPad Air"/>
  </r>
  <r>
    <s v="[DH163] "/>
    <s v=" Ma Hong Van "/>
    <n v="942100652"/>
    <n v="12500000"/>
    <n v="1"/>
    <n v="12500000"/>
    <n v="12"/>
    <n v="53"/>
    <d v="2024-12-31T00:00:00"/>
    <x v="0"/>
    <s v="May tinh bang"/>
    <s v="iPad Gen 10"/>
  </r>
  <r>
    <s v="[DH135] "/>
    <s v=" Ngo Kim Van "/>
    <n v="993446356"/>
    <n v="80000"/>
    <n v="5"/>
    <n v="400000"/>
    <n v="12"/>
    <n v="52"/>
    <d v="2024-12-22T00:00:00"/>
    <x v="0"/>
    <s v="Phu kien"/>
    <s v="Mieng dan man hinh"/>
  </r>
  <r>
    <s v="[DH026] "/>
    <s v=" Nguyen Thi Hanh "/>
    <n v="932321899"/>
    <n v="8900000"/>
    <n v="1"/>
    <n v="8900000"/>
    <n v="12"/>
    <n v="51"/>
    <d v="2024-12-16T00:00:00"/>
    <x v="2"/>
    <s v="May tinh bang"/>
    <s v="Lenovo Tab M10"/>
  </r>
  <r>
    <s v="[DH141] "/>
    <s v=" Tang Ngoc Uy "/>
    <n v="999541016"/>
    <n v="12500000"/>
    <s v="2"/>
    <n v="25000000"/>
    <n v="12"/>
    <n v="49"/>
    <d v="2024-12-02T00:00:00"/>
    <x v="2"/>
    <s v="May tinh bang"/>
    <s v="iPad Gen 10"/>
  </r>
  <r>
    <s v="[DH149] "/>
    <s v=" Le Minh Tam "/>
    <n v="972270726"/>
    <n v="190000"/>
    <s v="4"/>
    <n v="760000"/>
    <n v="12"/>
    <n v="51"/>
    <d v="2024-12-19T00:00:00"/>
    <x v="0"/>
    <s v="Phu kien"/>
    <s v="Tai nghe co day"/>
  </r>
  <r>
    <s v="[DH003] "/>
    <s v=" Do Hoang Quynh "/>
    <n v="939587039"/>
    <n v="350000"/>
    <n v="1"/>
    <n v="350000"/>
    <n v="12"/>
    <n v="51"/>
    <d v="2024-12-19T00:00:00"/>
    <x v="1"/>
    <s v="Phu kien"/>
    <s v="Op lung Samsung"/>
  </r>
  <r>
    <s v="[DH087] "/>
    <s v=" Dinh Kim Kien "/>
    <n v="977172238"/>
    <n v="450000"/>
    <s v="1"/>
    <n v="450000"/>
    <n v="12"/>
    <n v="51"/>
    <d v="2024-12-16T00:00:00"/>
    <x v="1"/>
    <s v="Phu kien"/>
    <s v="Sac du phong 20000mAh"/>
  </r>
  <r>
    <s v="[DH103] "/>
    <s v=" La Van Yen "/>
    <n v="919183277"/>
    <n v="9990000"/>
    <n v="2"/>
    <n v="19980000"/>
    <n v="12"/>
    <n v="51"/>
    <d v="2024-12-21T00:00:00"/>
    <x v="1"/>
    <s v="Dien thoai"/>
    <s v="Vivo V29"/>
  </r>
  <r>
    <s v="[DH097] "/>
    <s v=" Truong Hoang Kien "/>
    <n v="910344303"/>
    <n v="12500000"/>
    <n v="2"/>
    <n v="25000000"/>
    <n v="12"/>
    <n v="52"/>
    <d v="2024-12-24T00:00:00"/>
    <x v="1"/>
    <s v="May tinh bang"/>
    <s v="iPad Gen 10"/>
  </r>
  <r>
    <s v="[DH120] "/>
    <s v=" Ma Hong Ngoc "/>
    <n v="923335151"/>
    <n v="2990000"/>
    <n v="3"/>
    <n v="8970000"/>
    <n v="12"/>
    <n v="50"/>
    <d v="2024-12-12T00:00:00"/>
    <x v="2"/>
    <s v="Phu kien"/>
    <s v="Galaxy Buds2 Pro"/>
  </r>
  <r>
    <s v="[DH159] "/>
    <s v=" Duong Thi Quynh "/>
    <n v="978248169"/>
    <n v="9990000"/>
    <n v="2"/>
    <n v="19980000"/>
    <n v="1"/>
    <n v="2"/>
    <d v="2024-01-12T00:00:00"/>
    <x v="1"/>
    <s v="May tinh bang"/>
    <s v="Samsung Tab A9"/>
  </r>
  <r>
    <s v="[DH035] "/>
    <s v=" Bui Thi Dung "/>
    <n v="984252420"/>
    <n v="25990000"/>
    <s v="1"/>
    <n v="25990000"/>
    <n v="9"/>
    <n v="37"/>
    <d v="2024-09-12T00:00:00"/>
    <x v="0"/>
    <s v="Dien thoai"/>
    <s v="Samsung S24 Ultra"/>
  </r>
  <r>
    <s v="[DH115] "/>
    <s v=" Nguyen Duc Van "/>
    <n v="926587799"/>
    <n v="350000"/>
    <s v="3"/>
    <n v="1050000"/>
    <n v="12"/>
    <n v="50"/>
    <d v="2024-12-12T00:00:00"/>
    <x v="0"/>
    <s v="Phu kien"/>
    <s v="Op lung Samsung"/>
  </r>
  <r>
    <s v="[DH210] "/>
    <s v=" La Ngoc Xuan "/>
    <n v="950237208"/>
    <n v="150000"/>
    <n v="3"/>
    <n v="450000"/>
    <n v="12"/>
    <n v="52"/>
    <d v="2024-12-27T00:00:00"/>
    <x v="1"/>
    <s v="Phu kien"/>
    <s v="Cap sac Type-C"/>
  </r>
  <r>
    <s v="[DH258] "/>
    <s v=" Tran Van Quynh "/>
    <n v="928453800"/>
    <n v="3990000"/>
    <n v="2"/>
    <n v="7980000"/>
    <n v="12"/>
    <n v="50"/>
    <d v="2024-12-08T00:00:00"/>
    <x v="1"/>
    <s v="Phu kien"/>
    <s v="AirPods 3"/>
  </r>
  <r>
    <s v="[DH095] "/>
    <s v=" Ma Thi Em "/>
    <n v="976890827"/>
    <n v="5290000"/>
    <n v="3"/>
    <n v="15870000"/>
    <n v="12"/>
    <n v="50"/>
    <d v="2024-12-10T00:00:00"/>
    <x v="1"/>
    <s v="Phu kien"/>
    <s v="Apple Watch SE"/>
  </r>
  <r>
    <s v="[DH123] "/>
    <s v=" Truong Minh Yen "/>
    <n v="910380581"/>
    <n v="6990000"/>
    <s v="1"/>
    <n v="6990000"/>
    <n v="12"/>
    <n v="52"/>
    <d v="2024-12-28T00:00:00"/>
    <x v="2"/>
    <s v="Dien thoai"/>
    <s v="Realme 12 Pro"/>
  </r>
  <r>
    <s v="[DH196] "/>
    <s v=" Quach Thanh Xuan "/>
    <n v="915529005"/>
    <n v="12500000"/>
    <s v="2"/>
    <n v="25000000"/>
    <n v="12"/>
    <n v="49"/>
    <d v="2024-12-03T00:00:00"/>
    <x v="0"/>
    <s v="Dien thoai"/>
    <s v="iPhone 15"/>
  </r>
  <r>
    <s v="[DH199] "/>
    <s v=" Truong Anh Em "/>
    <n v="951954112"/>
    <n v="5290000"/>
    <n v="3"/>
    <n v="15870000"/>
    <n v="12"/>
    <n v="50"/>
    <d v="2024-12-11T00:00:00"/>
    <x v="1"/>
    <s v="Phu kien"/>
    <s v="Apple Watch SE"/>
  </r>
  <r>
    <s v="[DH132] "/>
    <s v=" To Thi Ngoc "/>
    <n v="927463800"/>
    <n v="450000"/>
    <s v="5"/>
    <n v="2250000"/>
    <n v="12"/>
    <n v="49"/>
    <d v="2024-12-02T00:00:00"/>
    <x v="2"/>
    <s v="Phu kien"/>
    <s v="Sac du phong 20000mAh"/>
  </r>
  <r>
    <s v="[DH093] "/>
    <s v=" Ma Van Giang "/>
    <n v="945843681"/>
    <n v="450000"/>
    <s v="4"/>
    <n v="1800000"/>
    <n v="5"/>
    <n v="20"/>
    <d v="2024-05-12T00:00:00"/>
    <x v="2"/>
    <s v="Phu kien"/>
    <s v="Sac du phong 20000mAh"/>
  </r>
  <r>
    <s v="[DH010] "/>
    <s v=" Tang Thanh Giang "/>
    <n v="997971488"/>
    <n v="150000"/>
    <n v="4"/>
    <n v="600000"/>
    <n v="12"/>
    <n v="50"/>
    <d v="2024-12-13T00:00:00"/>
    <x v="2"/>
    <s v="Phu kien"/>
    <s v="Cap sac Type-C"/>
  </r>
  <r>
    <s v="[DH172] "/>
    <s v=" Ly Hong Xuan "/>
    <n v="965910756"/>
    <n v="15990000"/>
    <s v="1"/>
    <n v="15990000"/>
    <n v="12"/>
    <n v="52"/>
    <d v="2024-12-22T00:00:00"/>
    <x v="2"/>
    <s v="Dien thoai"/>
    <s v="Xiaomi 14"/>
  </r>
  <r>
    <s v="[DH049] "/>
    <s v=" Tang Anh Minh "/>
    <n v="972409658"/>
    <n v="350000"/>
    <s v="2"/>
    <n v="700000"/>
    <n v="12"/>
    <n v="51"/>
    <d v="2024-12-15T00:00:00"/>
    <x v="0"/>
    <s v="Phu kien"/>
    <s v="Op lung Samsung"/>
  </r>
  <r>
    <s v="[DH121] "/>
    <s v=" Pham Ngoc Cuong "/>
    <n v="998955314"/>
    <n v="18990000"/>
    <n v="1"/>
    <n v="18990000"/>
    <n v="12"/>
    <n v="51"/>
    <d v="2024-12-21T00:00:00"/>
    <x v="2"/>
    <s v="Dien thoai"/>
    <s v="OPPO Find X6"/>
  </r>
  <r>
    <s v="[DH042] "/>
    <s v=" Ly Duc Hanh "/>
    <n v="939920292"/>
    <n v="12500000"/>
    <n v="2"/>
    <n v="25000000"/>
    <n v="12"/>
    <n v="52"/>
    <d v="2024-12-22T00:00:00"/>
    <x v="2"/>
    <s v="Dien thoai"/>
    <s v="iPhone 15"/>
  </r>
  <r>
    <s v="[DH280] "/>
    <s v=" Tang Hong Minh "/>
    <n v="960473288"/>
    <n v="6990000"/>
    <n v="2"/>
    <n v="13980000"/>
    <n v="12"/>
    <n v="52"/>
    <d v="2024-12-27T00:00:00"/>
    <x v="2"/>
    <s v="Dien thoai"/>
    <s v="Realme 12 Pro"/>
  </r>
  <r>
    <s v="[DH161] "/>
    <s v=" Duong Van Minh "/>
    <n v="992950779"/>
    <n v="25990000"/>
    <n v="1"/>
    <n v="25990000"/>
    <n v="12"/>
    <n v="51"/>
    <d v="2024-12-20T00:00:00"/>
    <x v="0"/>
    <s v="Dien thoai"/>
    <s v="Samsung S24 Ultra"/>
  </r>
  <r>
    <s v="[DH061] "/>
    <s v=" Cao Minh Son "/>
    <n v="927129912"/>
    <n v="80000"/>
    <s v="4"/>
    <n v="320000"/>
    <n v="12"/>
    <n v="51"/>
    <d v="2024-12-18T00:00:00"/>
    <x v="2"/>
    <s v="Phu kien"/>
    <s v="Mieng dan man hinh"/>
  </r>
  <r>
    <s v="[DH007] "/>
    <s v=" Pham Kim Kien "/>
    <n v="970855700"/>
    <n v="3990000"/>
    <n v="2"/>
    <n v="7980000"/>
    <n v="12"/>
    <n v="52"/>
    <d v="2024-12-27T00:00:00"/>
    <x v="0"/>
    <s v="Phu kien"/>
    <s v="AirPods 3"/>
  </r>
  <r>
    <s v="[DH033] "/>
    <s v=" Bui Minh Ngoc "/>
    <n v="919233013"/>
    <n v="9990000"/>
    <n v="1"/>
    <n v="9990000"/>
    <n v="12"/>
    <n v="50"/>
    <d v="2024-12-12T00:00:00"/>
    <x v="0"/>
    <s v="Dien thoai"/>
    <s v="Vivo V29"/>
  </r>
  <r>
    <s v="[DH005] "/>
    <s v=" Bui Van Son "/>
    <n v="981971316"/>
    <n v="18990000"/>
    <s v="1"/>
    <n v="18990000"/>
    <n v="12"/>
    <n v="53"/>
    <d v="2024-12-30T00:00:00"/>
    <x v="0"/>
    <s v="Dien thoai"/>
    <s v="Samsung S24"/>
  </r>
  <r>
    <s v="[DH234] "/>
    <s v=" Tran Hoang Uy "/>
    <n v="937133023"/>
    <n v="280000"/>
    <n v="2"/>
    <n v="560000"/>
    <n v="12"/>
    <n v="51"/>
    <d v="2024-12-18T00:00:00"/>
    <x v="1"/>
    <s v="Phu kien"/>
    <s v="Sac du phong 10000mAh"/>
  </r>
  <r>
    <s v="[DH046] "/>
    <s v=" La Hong Ngoc "/>
    <n v="967887757"/>
    <n v="28990000"/>
    <s v="2"/>
    <n v="57980000"/>
    <n v="12"/>
    <n v="53"/>
    <d v="2024-12-31T00:00:00"/>
    <x v="2"/>
    <s v="Dien thoai"/>
    <s v="iPhone 15 Pro Max"/>
  </r>
  <r>
    <s v="[DH050] "/>
    <s v=" Vu Thi Lan "/>
    <n v="979182797"/>
    <n v="2990000"/>
    <n v="3"/>
    <n v="8970000"/>
    <n v="12"/>
    <n v="51"/>
    <d v="2024-12-21T00:00:00"/>
    <x v="2"/>
    <s v="Phu kien"/>
    <s v="Galaxy Buds2 Pro"/>
  </r>
  <r>
    <s v="[DH021] "/>
    <s v=" Tran Hong Cuong "/>
    <n v="914216175"/>
    <n v="18490000"/>
    <n v="1"/>
    <n v="18490000"/>
    <n v="12"/>
    <n v="49"/>
    <d v="2024-12-03T00:00:00"/>
    <x v="2"/>
    <s v="May tinh bang"/>
    <s v="iPad Air"/>
  </r>
  <r>
    <s v="[DH140] "/>
    <s v=" Ma Kim Kien "/>
    <n v="938933176"/>
    <n v="190000"/>
    <n v="3"/>
    <n v="570000"/>
    <n v="12"/>
    <n v="51"/>
    <d v="2024-12-17T00:00:00"/>
    <x v="0"/>
    <s v="Phu kien"/>
    <s v="Tai nghe co day"/>
  </r>
  <r>
    <s v="[DH038] "/>
    <s v=" Hoang Hoang Binh "/>
    <n v="959555330"/>
    <n v="280000"/>
    <n v="4"/>
    <n v="1120000"/>
    <n v="12"/>
    <n v="51"/>
    <d v="2024-12-18T00:00:00"/>
    <x v="1"/>
    <s v="Phu kien"/>
    <s v="Sac du phong 10000mAh"/>
  </r>
  <r>
    <s v="[DH075] "/>
    <s v=" La Hoang Ngoc "/>
    <n v="967110154"/>
    <n v="250000"/>
    <s v="3"/>
    <n v="750000"/>
    <n v="12"/>
    <n v="51"/>
    <d v="2024-12-18T00:00:00"/>
    <x v="1"/>
    <s v="Phu kien"/>
    <s v="Cap sac Lightning"/>
  </r>
  <r>
    <s v="[DH268] "/>
    <s v=" Cao Minh Cuong "/>
    <n v="977215278"/>
    <n v="250000"/>
    <n v="1"/>
    <n v="250000"/>
    <n v="12"/>
    <n v="50"/>
    <d v="2024-12-12T00:00:00"/>
    <x v="2"/>
    <s v="Phu kien"/>
    <s v="Cap sac Lightning"/>
  </r>
  <r>
    <s v="[DH278] "/>
    <s v=" Quach Kim Minh "/>
    <n v="969085720"/>
    <n v="18490000"/>
    <n v="1"/>
    <n v="18490000"/>
    <n v="12"/>
    <n v="50"/>
    <d v="2024-12-14T00:00:00"/>
    <x v="0"/>
    <s v="May tinh bang"/>
    <s v="iPad Air"/>
  </r>
  <r>
    <s v="[DH277] "/>
    <s v=" Chau Anh Yen "/>
    <n v="936246038"/>
    <n v="350000"/>
    <n v="3"/>
    <n v="1050000"/>
    <n v="12"/>
    <n v="49"/>
    <d v="2024-12-04T00:00:00"/>
    <x v="1"/>
    <s v="Phu kien"/>
    <s v="Op lung Samsung"/>
  </r>
  <r>
    <s v="[DH147] "/>
    <s v=" Truong Hong Minh "/>
    <n v="932566390"/>
    <n v="28990000"/>
    <s v="1"/>
    <n v="28990000"/>
    <n v="12"/>
    <n v="51"/>
    <d v="2024-12-17T00:00:00"/>
    <x v="1"/>
    <s v="Dien thoai"/>
    <s v="iPhone 15 Pro Max"/>
  </r>
  <r>
    <s v="[DH127] "/>
    <s v=" Tran Ngoc Phuc "/>
    <n v="967213476"/>
    <n v="2990000"/>
    <n v="4"/>
    <n v="11960000"/>
    <n v="4"/>
    <n v="15"/>
    <d v="2024-04-12T00:00:00"/>
    <x v="1"/>
    <s v="Phu kien"/>
    <s v="Galaxy Buds2 Pro"/>
  </r>
  <r>
    <s v="[DH052] "/>
    <s v=" Ma Kim Xuan "/>
    <n v="936096655"/>
    <n v="5290000"/>
    <n v="4"/>
    <n v="21160000"/>
    <n v="12"/>
    <n v="52"/>
    <d v="2024-12-23T00:00:00"/>
    <x v="0"/>
    <s v="Phu kien"/>
    <s v="Apple Watch SE"/>
  </r>
  <r>
    <s v="[DH259] "/>
    <s v=" Ly Van Yen "/>
    <n v="995594482"/>
    <n v="2990000"/>
    <s v="4"/>
    <n v="11960000"/>
    <n v="12"/>
    <n v="53"/>
    <d v="2024-12-30T00:00:00"/>
    <x v="2"/>
    <s v="Phu kien"/>
    <s v="Galaxy Buds2 Pro"/>
  </r>
  <r>
    <s v="[DH051] "/>
    <s v=" Dinh Hong Giang "/>
    <n v="929777514"/>
    <n v="12500000"/>
    <s v="2"/>
    <n v="25000000"/>
    <n v="12"/>
    <n v="49"/>
    <d v="2024-12-02T00:00:00"/>
    <x v="2"/>
    <s v="Dien thoai"/>
    <s v="iPhone 15"/>
  </r>
  <r>
    <s v="[DH165] "/>
    <s v=" Bui Van Tam "/>
    <n v="959823245"/>
    <n v="450000"/>
    <n v="5"/>
    <n v="2250000"/>
    <n v="12"/>
    <n v="53"/>
    <d v="2024-12-30T00:00:00"/>
    <x v="2"/>
    <s v="Phu kien"/>
    <s v="Sac du phong 20000mAh"/>
  </r>
  <r>
    <s v="[DH175] "/>
    <s v=" Hoang Van Ngoc "/>
    <n v="983284724"/>
    <n v="18490000"/>
    <s v="1"/>
    <n v="18490000"/>
    <n v="12"/>
    <n v="52"/>
    <d v="2024-12-27T00:00:00"/>
    <x v="0"/>
    <s v="May tinh bang"/>
    <s v="iPad Air"/>
  </r>
  <r>
    <s v="[DH009] "/>
    <s v=" La Hong Minh "/>
    <n v="917507864"/>
    <n v="9990000"/>
    <n v="2"/>
    <n v="19980000"/>
    <n v="12"/>
    <n v="52"/>
    <d v="2024-12-27T00:00:00"/>
    <x v="2"/>
    <s v="Dien thoai"/>
    <s v="Vivo V29"/>
  </r>
  <r>
    <s v="[DH040] "/>
    <s v=" Hoang Hong Phuong "/>
    <n v="933763566"/>
    <n v="8900000"/>
    <n v="2"/>
    <n v="17800000"/>
    <n v="12"/>
    <n v="49"/>
    <d v="2024-12-01T00:00:00"/>
    <x v="0"/>
    <s v="May tinh bang"/>
    <s v="Lenovo Tab M10"/>
  </r>
  <r>
    <s v="[DH254] "/>
    <s v=" Truong Kim Binh "/>
    <n v="985500790"/>
    <n v="9990000"/>
    <n v="1"/>
    <n v="9990000"/>
    <n v="12"/>
    <n v="52"/>
    <d v="2024-12-24T00:00:00"/>
    <x v="0"/>
    <s v="Dien thoai"/>
    <s v="Vivo V29"/>
  </r>
  <r>
    <s v="[DH047] "/>
    <s v=" Dinh Hoang Lan "/>
    <n v="999508850"/>
    <n v="8900000"/>
    <s v="2"/>
    <n v="17800000"/>
    <n v="11"/>
    <n v="46"/>
    <d v="2024-11-12T00:00:00"/>
    <x v="1"/>
    <s v="May tinh bang"/>
    <s v="Lenovo Tab M10"/>
  </r>
  <r>
    <s v="[DH112] "/>
    <s v=" Tang Thanh Em "/>
    <n v="922097496"/>
    <n v="12500000"/>
    <n v="2"/>
    <n v="25000000"/>
    <n v="12"/>
    <n v="50"/>
    <d v="2024-12-11T00:00:00"/>
    <x v="0"/>
    <s v="May tinh bang"/>
    <s v="iPad Gen 10"/>
  </r>
  <r>
    <s v="[DH180] "/>
    <s v=" To Thi Quynh "/>
    <n v="990859912"/>
    <n v="15990000"/>
    <n v="2"/>
    <n v="31980000"/>
    <n v="12"/>
    <n v="51"/>
    <d v="2024-12-18T00:00:00"/>
    <x v="0"/>
    <s v="Dien thoai"/>
    <s v="Xiaomi 14"/>
  </r>
  <r>
    <s v="[DH044] "/>
    <s v=" Vu Anh Kien "/>
    <n v="915134794"/>
    <n v="18990000"/>
    <s v="2"/>
    <n v="37980000"/>
    <n v="12"/>
    <n v="51"/>
    <d v="2024-12-20T00:00:00"/>
    <x v="1"/>
    <s v="Dien thoai"/>
    <s v="Samsung S24"/>
  </r>
  <r>
    <s v="[DH016] "/>
    <s v=" Hoang Thanh Phuong "/>
    <n v="982394227"/>
    <n v="190000"/>
    <s v="1"/>
    <n v="190000"/>
    <n v="12"/>
    <n v="53"/>
    <d v="2024-12-30T00:00:00"/>
    <x v="2"/>
    <s v="Phu kien"/>
    <s v="Tai nghe co day"/>
  </r>
  <r>
    <s v="[DH145] "/>
    <s v=" To Duc Dung "/>
    <n v="964362516"/>
    <n v="12500000"/>
    <s v="1"/>
    <n v="12500000"/>
    <n v="12"/>
    <n v="53"/>
    <d v="2024-12-31T00:00:00"/>
    <x v="0"/>
    <s v="Dien thoai"/>
    <s v="iPhone 15"/>
  </r>
  <r>
    <s v="[DH227] "/>
    <s v=" Bui Minh An "/>
    <n v="955246430"/>
    <n v="12500000"/>
    <n v="1"/>
    <n v="12500000"/>
    <n v="12"/>
    <n v="51"/>
    <d v="2024-12-19T00:00:00"/>
    <x v="0"/>
    <s v="May tinh bang"/>
    <s v="iPad Gen 10"/>
  </r>
  <r>
    <s v="[DH137] "/>
    <s v=" Tang Kim Cuong "/>
    <n v="929042093"/>
    <n v="250000"/>
    <s v="1"/>
    <n v="250000"/>
    <n v="12"/>
    <n v="51"/>
    <d v="2024-12-21T00:00:00"/>
    <x v="1"/>
    <s v="Phu kien"/>
    <s v="Cap sac Lightning"/>
  </r>
  <r>
    <s v="[DH034] "/>
    <s v=" Dinh Anh Uy "/>
    <n v="911049999"/>
    <n v="2990000"/>
    <s v="3"/>
    <n v="8970000"/>
    <n v="12"/>
    <n v="52"/>
    <d v="2024-12-27T00:00:00"/>
    <x v="2"/>
    <s v="Phu kien"/>
    <s v="Galaxy Buds2 Pro"/>
  </r>
  <r>
    <s v="[DH058] "/>
    <s v=" Le Kim Quynh "/>
    <n v="954410148"/>
    <n v="450000"/>
    <n v="1"/>
    <n v="450000"/>
    <n v="12"/>
    <n v="51"/>
    <d v="2024-12-15T00:00:00"/>
    <x v="1"/>
    <s v="Phu kien"/>
    <s v="Sac du phong 20000mAh"/>
  </r>
  <r>
    <s v="[DH226] "/>
    <s v=" Duong Ngoc Em "/>
    <n v="977674279"/>
    <n v="350000"/>
    <n v="1"/>
    <n v="350000"/>
    <n v="12"/>
    <n v="50"/>
    <d v="2024-12-09T00:00:00"/>
    <x v="1"/>
    <s v="Phu kien"/>
    <s v="Op lung Samsung"/>
  </r>
  <r>
    <s v="[DH039] "/>
    <s v=" Tran Thanh Giang "/>
    <n v="943491314"/>
    <n v="2990000"/>
    <n v="5"/>
    <n v="14950000"/>
    <n v="4"/>
    <n v="15"/>
    <d v="2024-04-12T00:00:00"/>
    <x v="0"/>
    <s v="Phu kien"/>
    <s v="Galaxy Buds2 Pro"/>
  </r>
  <r>
    <s v="[DH032] "/>
    <s v=" Dinh Ngoc Minh "/>
    <n v="919736572"/>
    <n v="12500000"/>
    <n v="1"/>
    <n v="12500000"/>
    <n v="12"/>
    <n v="51"/>
    <d v="2024-12-15T00:00:00"/>
    <x v="0"/>
    <s v="Dien thoai"/>
    <s v="iPhone 15"/>
  </r>
  <r>
    <s v="[DH129] "/>
    <s v=" Dinh Ngoc Uy "/>
    <n v="991259008"/>
    <n v="8900000"/>
    <s v="1"/>
    <n v="8900000"/>
    <n v="12"/>
    <n v="49"/>
    <d v="2024-12-04T00:00:00"/>
    <x v="0"/>
    <s v="May tinh bang"/>
    <s v="Lenovo Tab M10"/>
  </r>
  <r>
    <s v="[DH186] "/>
    <s v=" Vu Ngoc Uy "/>
    <n v="961940566"/>
    <n v="450000"/>
    <s v="3"/>
    <n v="1350000"/>
    <n v="4"/>
    <n v="15"/>
    <d v="2024-04-12T00:00:00"/>
    <x v="0"/>
    <s v="Phu kien"/>
    <s v="Sac du phong 20000mAh"/>
  </r>
  <r>
    <s v="[DH219] "/>
    <s v=" Le Thanh Son "/>
    <n v="998043078"/>
    <n v="6990000"/>
    <n v="1"/>
    <n v="6990000"/>
    <n v="12"/>
    <n v="52"/>
    <d v="2024-12-24T00:00:00"/>
    <x v="1"/>
    <s v="Dien thoai"/>
    <s v="Realme 12 Pro"/>
  </r>
  <r>
    <s v="[DH083] "/>
    <s v=" Quach Thi Giang "/>
    <n v="993955206"/>
    <n v="18990000"/>
    <n v="1"/>
    <n v="18990000"/>
    <n v="12"/>
    <n v="50"/>
    <d v="2024-12-09T00:00:00"/>
    <x v="0"/>
    <s v="Dien thoai"/>
    <s v="OPPO Find X6"/>
  </r>
  <r>
    <s v="[DH002] "/>
    <s v=" Le Anh Quynh "/>
    <n v="914265799"/>
    <n v="12500000"/>
    <s v="1"/>
    <n v="12500000"/>
    <n v="12"/>
    <n v="49"/>
    <d v="2024-12-03T00:00:00"/>
    <x v="0"/>
    <s v="Dien thoai"/>
    <s v="iPhone 15"/>
  </r>
  <r>
    <s v="[DH223] "/>
    <s v=" Truong Duc Binh "/>
    <n v="922007214"/>
    <n v="3990000"/>
    <s v="5"/>
    <n v="19950000"/>
    <n v="12"/>
    <n v="51"/>
    <d v="2024-12-19T00:00:00"/>
    <x v="2"/>
    <s v="Phu kien"/>
    <s v="AirPods 3"/>
  </r>
  <r>
    <s v="[DH209] "/>
    <s v=" Truong Anh Minh "/>
    <n v="931810655"/>
    <n v="8990000"/>
    <s v="2"/>
    <n v="17980000"/>
    <n v="12"/>
    <n v="51"/>
    <d v="2024-12-20T00:00:00"/>
    <x v="0"/>
    <s v="May tinh bang"/>
    <s v="Xiaomi Pad 6"/>
  </r>
  <r>
    <s v="[DH183] "/>
    <s v=" Duong Minh An "/>
    <n v="929163535"/>
    <n v="80000"/>
    <n v="1"/>
    <n v="80000"/>
    <n v="12"/>
    <n v="52"/>
    <d v="2024-12-22T00:00:00"/>
    <x v="0"/>
    <s v="Phu kien"/>
    <s v="Mieng dan man hinh"/>
  </r>
  <r>
    <s v="[DH070] "/>
    <s v=" Duong Duc Yen "/>
    <n v="982232344"/>
    <n v="190000"/>
    <s v="4"/>
    <n v="760000"/>
    <n v="12"/>
    <n v="51"/>
    <d v="2024-12-16T00:00:00"/>
    <x v="1"/>
    <s v="Phu kien"/>
    <s v="Tai nghe co day"/>
  </r>
  <r>
    <s v="[DH154] "/>
    <s v=" Ma Thi Minh "/>
    <n v="921318464"/>
    <n v="890000"/>
    <n v="1"/>
    <n v="890000"/>
    <n v="12"/>
    <n v="51"/>
    <d v="2024-12-21T00:00:00"/>
    <x v="1"/>
    <s v="Phu kien"/>
    <s v="Tai nghe Bluetooth"/>
  </r>
  <r>
    <s v="[DH089] "/>
    <s v=" Tran Minh Tam "/>
    <n v="979654147"/>
    <n v="3990000"/>
    <s v="2"/>
    <n v="7980000"/>
    <n v="12"/>
    <n v="51"/>
    <d v="2024-12-15T00:00:00"/>
    <x v="1"/>
    <s v="Phu kien"/>
    <s v="AirPods 3"/>
  </r>
  <r>
    <s v="[DH239] "/>
    <s v=" Ma Kim Phuc "/>
    <n v="920770971"/>
    <n v="2990000"/>
    <n v="5"/>
    <n v="14950000"/>
    <n v="12"/>
    <n v="53"/>
    <d v="2024-12-31T00:00:00"/>
    <x v="1"/>
    <s v="Phu kien"/>
    <s v="Galaxy Buds2 Pro"/>
  </r>
  <r>
    <s v="[DH015] "/>
    <s v=" Bui Hoang Phuong "/>
    <n v="978139880"/>
    <n v="18990000"/>
    <s v="2"/>
    <n v="37980000"/>
    <n v="12"/>
    <n v="52"/>
    <d v="2024-12-28T00:00:00"/>
    <x v="2"/>
    <s v="Dien thoai"/>
    <s v="Samsung S24"/>
  </r>
  <r>
    <s v="[DH066] "/>
    <s v=" Vu Anh Yen "/>
    <n v="925372341"/>
    <n v="190000"/>
    <n v="3"/>
    <n v="570000"/>
    <n v="12"/>
    <n v="52"/>
    <d v="2024-12-27T00:00:00"/>
    <x v="1"/>
    <s v="Phu kien"/>
    <s v="Tai nghe co day"/>
  </r>
  <r>
    <s v="[DH071] "/>
    <s v=" Ngo Thi Kien "/>
    <n v="970505620"/>
    <n v="9990000"/>
    <n v="2"/>
    <n v="19980000"/>
    <n v="12"/>
    <n v="52"/>
    <d v="2024-12-25T00:00:00"/>
    <x v="1"/>
    <s v="Dien thoai"/>
    <s v="Vivo V29"/>
  </r>
  <r>
    <s v="[DH242] "/>
    <s v=" Do Thi Binh "/>
    <n v="998610233"/>
    <n v="8900000"/>
    <n v="1"/>
    <n v="8900000"/>
    <n v="12"/>
    <n v="51"/>
    <d v="2024-12-20T00:00:00"/>
    <x v="0"/>
    <s v="May tinh bang"/>
    <s v="Lenovo Tab M10"/>
  </r>
  <r>
    <s v="[DH106] "/>
    <s v=" Cao Anh Hanh "/>
    <n v="976795767"/>
    <n v="280000"/>
    <s v="4"/>
    <n v="1120000"/>
    <n v="12"/>
    <n v="49"/>
    <d v="2024-12-05T00:00:00"/>
    <x v="1"/>
    <s v="Phu kien"/>
    <s v="Sac du phong 10000mAh"/>
  </r>
  <r>
    <s v="[DH059] "/>
    <s v=" Tang Van Xuan "/>
    <n v="961053877"/>
    <n v="150000"/>
    <n v="3"/>
    <n v="450000"/>
    <n v="1"/>
    <n v="2"/>
    <d v="2024-01-12T00:00:00"/>
    <x v="1"/>
    <s v="Phu kien"/>
    <s v="Cap sac Type-C"/>
  </r>
  <r>
    <s v="[DH198] "/>
    <s v=" Cao Duc Son "/>
    <n v="919794273"/>
    <n v="5290000"/>
    <n v="4"/>
    <n v="21160000"/>
    <n v="12"/>
    <n v="49"/>
    <d v="2024-12-02T00:00:00"/>
    <x v="2"/>
    <s v="Phu kien"/>
    <s v="Apple Watch SE"/>
  </r>
  <r>
    <s v="[DH146] "/>
    <s v=" Ly Thi Quynh "/>
    <n v="924208709"/>
    <n v="9990000"/>
    <s v="2"/>
    <n v="19980000"/>
    <n v="12"/>
    <n v="50"/>
    <d v="2024-12-14T00:00:00"/>
    <x v="1"/>
    <s v="Dien thoai"/>
    <s v="Vivo V29"/>
  </r>
  <r>
    <s v="[DH069] "/>
    <s v=" Nguyen Kim Tam "/>
    <n v="924165187"/>
    <n v="8900000"/>
    <s v="2"/>
    <n v="17800000"/>
    <n v="12"/>
    <n v="53"/>
    <d v="2024-12-31T00:00:00"/>
    <x v="2"/>
    <s v="May tinh bang"/>
    <s v="Lenovo Tab M10"/>
  </r>
  <r>
    <s v="[DH204] "/>
    <s v=" Chau Duc Van "/>
    <n v="911097552"/>
    <n v="18990000"/>
    <s v="2"/>
    <n v="37980000"/>
    <n v="12"/>
    <n v="50"/>
    <d v="2024-12-14T00:00:00"/>
    <x v="1"/>
    <s v="Dien thoai"/>
    <s v="Samsung S24"/>
  </r>
  <r>
    <s v="[DH249] "/>
    <s v=" Truong Thi Son "/>
    <n v="959805178"/>
    <n v="28990000"/>
    <n v="1"/>
    <n v="28990000"/>
    <n v="12"/>
    <n v="51"/>
    <d v="2024-12-18T00:00:00"/>
    <x v="0"/>
    <s v="Dien thoai"/>
    <s v="iPhone 15 Pro Max"/>
  </r>
  <r>
    <s v="[DH019] "/>
    <s v=" To Hong Van "/>
    <n v="936998038"/>
    <n v="5290000"/>
    <n v="3"/>
    <n v="15870000"/>
    <n v="10"/>
    <n v="41"/>
    <d v="2024-10-12T00:00:00"/>
    <x v="1"/>
    <s v="Phu kien"/>
    <s v="Apple Watch SE"/>
  </r>
  <r>
    <s v="[DH098] "/>
    <s v=" Ly Thanh Van "/>
    <n v="982937948"/>
    <n v="8990000"/>
    <s v="1"/>
    <n v="8990000"/>
    <n v="12"/>
    <n v="51"/>
    <d v="2024-12-15T00:00:00"/>
    <x v="1"/>
    <s v="May tinh bang"/>
    <s v="Xiaomi Pad 6"/>
  </r>
  <r>
    <s v="[DH197] "/>
    <s v=" To Anh An "/>
    <n v="976845536"/>
    <n v="3990000"/>
    <n v="3"/>
    <n v="11970000"/>
    <n v="12"/>
    <n v="51"/>
    <d v="2024-12-18T00:00:00"/>
    <x v="0"/>
    <s v="Phu kien"/>
    <s v="AirPods 3"/>
  </r>
  <r>
    <s v="[DH004] "/>
    <s v=" Bui Minh Giang "/>
    <n v="955176955"/>
    <n v="18990000"/>
    <n v="1"/>
    <n v="18990000"/>
    <n v="3"/>
    <n v="11"/>
    <d v="2024-03-12T00:00:00"/>
    <x v="0"/>
    <s v="Dien thoai"/>
    <s v="Samsung S24"/>
  </r>
  <r>
    <s v="[DH073] "/>
    <s v=" Le Hong Quynh "/>
    <n v="975575808"/>
    <n v="450000"/>
    <s v="4"/>
    <n v="1800000"/>
    <n v="12"/>
    <n v="52"/>
    <d v="2024-12-25T00:00:00"/>
    <x v="1"/>
    <s v="Phu kien"/>
    <s v="Sac du phong 20000mAh"/>
  </r>
  <r>
    <s v="[DH011] "/>
    <s v=" La Hoang Kien "/>
    <n v="988461803"/>
    <n v="8900000"/>
    <n v="2"/>
    <n v="17800000"/>
    <n v="12"/>
    <n v="53"/>
    <d v="2024-12-29T00:00:00"/>
    <x v="2"/>
    <s v="May tinh bang"/>
    <s v="Lenovo Tab M10"/>
  </r>
  <r>
    <s v="[DH155] "/>
    <s v=" Duong Hoang Yen "/>
    <n v="931306555"/>
    <n v="9990000"/>
    <n v="2"/>
    <n v="19980000"/>
    <n v="12"/>
    <n v="50"/>
    <d v="2024-12-12T00:00:00"/>
    <x v="0"/>
    <s v="May tinh bang"/>
    <s v="Samsung Tab A9"/>
  </r>
  <r>
    <s v="[DH267] "/>
    <s v=" Cao Thi Lan "/>
    <n v="931803703"/>
    <n v="280000"/>
    <s v="4"/>
    <n v="1120000"/>
    <n v="12"/>
    <n v="50"/>
    <d v="2024-12-08T00:00:00"/>
    <x v="1"/>
    <s v="Phu kien"/>
    <s v="Sac du phong 10000mAh"/>
  </r>
  <r>
    <s v="[DH057] "/>
    <s v=" Truong Thanh Van "/>
    <n v="920814950"/>
    <n v="25990000"/>
    <s v="2"/>
    <n v="51980000"/>
    <n v="12"/>
    <n v="49"/>
    <d v="2024-12-05T00:00:00"/>
    <x v="2"/>
    <s v="Dien thoai"/>
    <s v="Samsung S24 Ultra"/>
  </r>
  <r>
    <s v="[DH143] "/>
    <s v=" Hoang Kim Van "/>
    <n v="940884937"/>
    <n v="890000"/>
    <n v="3"/>
    <n v="2670000"/>
    <n v="12"/>
    <n v="51"/>
    <d v="2024-12-18T00:00:00"/>
    <x v="0"/>
    <s v="Phu kien"/>
    <s v="Tai nghe Bluetooth"/>
  </r>
  <r>
    <s v="[DH160] "/>
    <s v=" Chau Hong Hanh "/>
    <n v="928463709"/>
    <n v="25990000"/>
    <s v="1"/>
    <n v="25990000"/>
    <n v="3"/>
    <n v="11"/>
    <d v="2024-03-12T00:00:00"/>
    <x v="0"/>
    <s v="Dien thoai"/>
    <s v="Samsung S24 Ultra"/>
  </r>
  <r>
    <s v="[DH256] "/>
    <s v=" La Thanh Kien "/>
    <n v="975581613"/>
    <n v="250000"/>
    <n v="4"/>
    <n v="1000000"/>
    <n v="12"/>
    <n v="51"/>
    <d v="2024-12-21T00:00:00"/>
    <x v="1"/>
    <s v="Phu kien"/>
    <s v="Cap sac Lightning"/>
  </r>
  <r>
    <s v="[DH232] "/>
    <s v=" Hoang Ngoc Em "/>
    <n v="971066203"/>
    <n v="250000"/>
    <s v="4"/>
    <n v="1000000"/>
    <n v="12"/>
    <n v="51"/>
    <d v="2024-12-20T00:00:00"/>
    <x v="1"/>
    <s v="Phu kien"/>
    <s v="Cap sac Lightning"/>
  </r>
  <r>
    <s v="[DH030] "/>
    <s v=" Ngo Kim Dung "/>
    <n v="986460539"/>
    <n v="9990000"/>
    <s v="1"/>
    <n v="9990000"/>
    <n v="12"/>
    <n v="51"/>
    <d v="2024-12-19T00:00:00"/>
    <x v="0"/>
    <s v="Dien thoai"/>
    <s v="Vivo V29"/>
  </r>
  <r>
    <s v="[DH233] "/>
    <s v=" La Hong Hanh "/>
    <n v="989968863"/>
    <n v="28990000"/>
    <n v="2"/>
    <n v="57980000"/>
    <n v="12"/>
    <n v="51"/>
    <d v="2024-12-17T00:00:00"/>
    <x v="2"/>
    <s v="Dien thoai"/>
    <s v="iPhone 15 Pro Max"/>
  </r>
  <r>
    <s v="[DH064] "/>
    <s v=" Ly Hong Cuong "/>
    <n v="997477029"/>
    <n v="22990000"/>
    <n v="1"/>
    <n v="22990000"/>
    <n v="12"/>
    <n v="52"/>
    <d v="2024-12-25T00:00:00"/>
    <x v="0"/>
    <s v="Dien thoai"/>
    <s v="iPhone 15 Pro"/>
  </r>
  <r>
    <s v="[DH176] "/>
    <s v=" Chau Minh Em "/>
    <n v="918469210"/>
    <n v="5290000"/>
    <n v="1"/>
    <n v="5290000"/>
    <n v="12"/>
    <n v="52"/>
    <d v="2024-12-25T00:00:00"/>
    <x v="2"/>
    <s v="Phu kien"/>
    <s v="Apple Watch SE"/>
  </r>
  <r>
    <s v="[DH065] "/>
    <s v=" Hoang Hong Em "/>
    <n v="973560289"/>
    <n v="2990000"/>
    <n v="2"/>
    <n v="5980000"/>
    <n v="12"/>
    <n v="49"/>
    <d v="2024-12-04T00:00:00"/>
    <x v="1"/>
    <s v="Phu kien"/>
    <s v="Galaxy Buds2 Pro"/>
  </r>
  <r>
    <s v="[DH184] "/>
    <s v=" Ly Thanh Phuc "/>
    <n v="986134287"/>
    <n v="22990000"/>
    <n v="2"/>
    <n v="45980000"/>
    <n v="12"/>
    <n v="51"/>
    <d v="2024-12-20T00:00:00"/>
    <x v="2"/>
    <s v="Dien thoai"/>
    <s v="iPhone 15 Pro"/>
  </r>
  <r>
    <s v="[DH105] "/>
    <s v=" Ly Thanh Quynh "/>
    <n v="929538047"/>
    <n v="9990000"/>
    <n v="1"/>
    <n v="9990000"/>
    <n v="12"/>
    <n v="51"/>
    <d v="2024-12-17T00:00:00"/>
    <x v="0"/>
    <s v="Dien thoai"/>
    <s v="Vivo V29"/>
  </r>
  <r>
    <s v="[DH235] "/>
    <s v=" Pham Hong Xuan "/>
    <n v="975609379"/>
    <n v="28990000"/>
    <n v="2"/>
    <n v="57980000"/>
    <n v="12"/>
    <n v="53"/>
    <d v="2024-12-29T00:00:00"/>
    <x v="0"/>
    <s v="Dien thoai"/>
    <s v="iPhone 15 Pro Max"/>
  </r>
  <r>
    <s v="[DH265] "/>
    <s v=" Duong Van Hanh "/>
    <n v="938375916"/>
    <n v="5290000"/>
    <n v="4"/>
    <n v="21160000"/>
    <n v="12"/>
    <n v="53"/>
    <d v="2024-12-29T00:00:00"/>
    <x v="2"/>
    <s v="Phu kien"/>
    <s v="Apple Watch SE"/>
  </r>
  <r>
    <s v="[DH214] "/>
    <s v=" To Hoang Yen "/>
    <n v="973297813"/>
    <n v="250000"/>
    <s v="2"/>
    <n v="500000"/>
    <n v="12"/>
    <n v="52"/>
    <d v="2024-12-24T00:00:00"/>
    <x v="1"/>
    <s v="Phu kien"/>
    <s v="Cap sac Lightning"/>
  </r>
  <r>
    <s v="[DH188] "/>
    <s v=" Le Thanh Ngoc "/>
    <n v="918715975"/>
    <n v="450000"/>
    <n v="3"/>
    <n v="1350000"/>
    <n v="12"/>
    <n v="51"/>
    <d v="2024-12-18T00:00:00"/>
    <x v="0"/>
    <s v="Phu kien"/>
    <s v="Sac du phong 20000mAh"/>
  </r>
  <r>
    <s v="[DH253] "/>
    <s v=" Dinh Duc Ngoc "/>
    <n v="978829070"/>
    <n v="150000"/>
    <n v="4"/>
    <n v="600000"/>
    <n v="12"/>
    <n v="51"/>
    <d v="2024-12-15T00:00:00"/>
    <x v="1"/>
    <s v="Phu kien"/>
    <s v="Cap sac Type-C"/>
  </r>
  <r>
    <s v="[DH092] "/>
    <s v=" Duong Van Van "/>
    <n v="972005415"/>
    <n v="8900000"/>
    <s v="2"/>
    <n v="17800000"/>
    <n v="12"/>
    <n v="49"/>
    <d v="2024-12-02T00:00:00"/>
    <x v="0"/>
    <s v="May tinh bang"/>
    <s v="Lenovo Tab M10"/>
  </r>
  <r>
    <s v="[DH014] "/>
    <s v=" La Duc Minh "/>
    <n v="924972279"/>
    <n v="12500000"/>
    <n v="2"/>
    <n v="25000000"/>
    <n v="12"/>
    <n v="50"/>
    <d v="2024-12-14T00:00:00"/>
    <x v="0"/>
    <s v="May tinh bang"/>
    <s v="iPad Gen 10"/>
  </r>
  <r>
    <s v="[DH264] "/>
    <s v=" Chau Van An "/>
    <n v="933002714"/>
    <n v="28990000"/>
    <s v="2"/>
    <n v="57980000"/>
    <n v="12"/>
    <n v="51"/>
    <d v="2024-12-16T00:00:00"/>
    <x v="2"/>
    <s v="Dien thoai"/>
    <s v="iPhone 15 Pro Max"/>
  </r>
  <r>
    <s v="[DH167] "/>
    <s v=" Tran Kim Uy "/>
    <n v="960192261"/>
    <n v="9990000"/>
    <n v="2"/>
    <n v="19980000"/>
    <n v="12"/>
    <n v="50"/>
    <d v="2024-12-13T00:00:00"/>
    <x v="2"/>
    <s v="Dien thoai"/>
    <s v="Vivo V29"/>
  </r>
  <r>
    <s v="[DH139] "/>
    <s v=" Hoang Minh Yen "/>
    <n v="916679008"/>
    <n v="2990000"/>
    <s v="4"/>
    <n v="11960000"/>
    <n v="3"/>
    <n v="11"/>
    <d v="2024-03-12T00:00:00"/>
    <x v="0"/>
    <s v="Phu kien"/>
    <s v="Galaxy Buds2 Pro"/>
  </r>
  <r>
    <s v="[DH211] "/>
    <s v=" Tang Duc An "/>
    <n v="990115852"/>
    <n v="150000"/>
    <s v="5"/>
    <n v="750000"/>
    <n v="12"/>
    <n v="50"/>
    <d v="2024-12-09T00:00:00"/>
    <x v="2"/>
    <s v="Phu kien"/>
    <s v="Cap sac Type-C"/>
  </r>
  <r>
    <s v="[DH074] "/>
    <s v=" Nguyen Thi Lan "/>
    <n v="939742165"/>
    <n v="8990000"/>
    <s v="2"/>
    <n v="17980000"/>
    <n v="12"/>
    <n v="52"/>
    <d v="2024-12-23T00:00:00"/>
    <x v="1"/>
    <s v="May tinh bang"/>
    <s v="Xiaomi Pad 6"/>
  </r>
  <r>
    <s v="[DH171] "/>
    <s v=" Quach Hoang An "/>
    <n v="994819556"/>
    <n v="890000"/>
    <n v="2"/>
    <n v="1780000"/>
    <n v="12"/>
    <n v="51"/>
    <d v="2024-12-19T00:00:00"/>
    <x v="0"/>
    <s v="Phu kien"/>
    <s v="Tai nghe Bluetooth"/>
  </r>
  <r>
    <s v="[DH216] "/>
    <s v=" Bui Anh Tam "/>
    <n v="935805259"/>
    <n v="9990000"/>
    <n v="2"/>
    <n v="19980000"/>
    <n v="12"/>
    <n v="50"/>
    <d v="2024-12-09T00:00:00"/>
    <x v="1"/>
    <s v="Dien thoai"/>
    <s v="Vivo V29"/>
  </r>
  <r>
    <s v="[DH045] "/>
    <s v=" Quach Hoang Dung "/>
    <n v="961700055"/>
    <n v="280000"/>
    <s v="1"/>
    <n v="280000"/>
    <n v="7"/>
    <n v="28"/>
    <d v="2024-07-12T00:00:00"/>
    <x v="0"/>
    <s v="Phu kien"/>
    <s v="Sac du phong 10000mAh"/>
  </r>
  <r>
    <s v="[DH125] "/>
    <s v=" Hoang Kim Uy "/>
    <n v="925253751"/>
    <n v="250000"/>
    <n v="4"/>
    <n v="1000000"/>
    <n v="3"/>
    <n v="11"/>
    <d v="2024-03-12T00:00:00"/>
    <x v="2"/>
    <s v="Phu kien"/>
    <s v="Cap sac Lightning"/>
  </r>
  <r>
    <s v="[DH178] "/>
    <s v=" Do Duc Ngoc "/>
    <n v="916416148"/>
    <n v="3990000"/>
    <n v="1"/>
    <n v="3990000"/>
    <n v="11"/>
    <n v="46"/>
    <d v="2024-11-12T00:00:00"/>
    <x v="1"/>
    <s v="Phu kien"/>
    <s v="AirPods 3"/>
  </r>
  <r>
    <s v="[DH109] "/>
    <s v=" Tang Duc Lan "/>
    <n v="912944682"/>
    <n v="2990000"/>
    <s v="1"/>
    <n v="2990000"/>
    <n v="12"/>
    <n v="50"/>
    <d v="2024-12-13T00:00:00"/>
    <x v="0"/>
    <s v="Phu kien"/>
    <s v="Galaxy Buds2 Pro"/>
  </r>
  <r>
    <s v="[DH099] "/>
    <s v=" Ngo Kim Binh "/>
    <n v="952704903"/>
    <n v="250000"/>
    <n v="4"/>
    <n v="1000000"/>
    <n v="12"/>
    <n v="51"/>
    <d v="2024-12-16T00:00:00"/>
    <x v="0"/>
    <s v="Phu kien"/>
    <s v="Cap sac Lightning"/>
  </r>
  <r>
    <s v="[DH036] "/>
    <s v=" Bui Hoang Tam "/>
    <n v="943704923"/>
    <n v="22990000"/>
    <n v="2"/>
    <n v="45980000"/>
    <n v="12"/>
    <n v="49"/>
    <d v="2024-12-03T00:00:00"/>
    <x v="1"/>
    <s v="Dien thoai"/>
    <s v="iPhone 15 Pro"/>
  </r>
  <r>
    <s v="[DH108] "/>
    <s v=" Bui Ngoc Lan "/>
    <n v="936738452"/>
    <n v="8990000"/>
    <n v="1"/>
    <n v="8990000"/>
    <n v="12"/>
    <n v="52"/>
    <d v="2024-12-28T00:00:00"/>
    <x v="1"/>
    <s v="May tinh bang"/>
    <s v="Xiaomi Pad 6"/>
  </r>
  <r>
    <s v="[DH220] "/>
    <s v=" La Duc Em "/>
    <n v="924660143"/>
    <n v="80000"/>
    <n v="2"/>
    <n v="160000"/>
    <n v="12"/>
    <n v="52"/>
    <d v="2024-12-24T00:00:00"/>
    <x v="0"/>
    <s v="Phu kien"/>
    <s v="Mieng dan man hinh"/>
  </r>
  <r>
    <s v="[DH131] "/>
    <s v=" To Thanh Kien "/>
    <n v="960237832"/>
    <n v="25990000"/>
    <n v="1"/>
    <n v="25990000"/>
    <n v="12"/>
    <n v="52"/>
    <d v="2024-12-22T00:00:00"/>
    <x v="2"/>
    <s v="Dien thoai"/>
    <s v="Samsung S24 Ultra"/>
  </r>
  <r>
    <s v="[DH096] "/>
    <s v=" Ngo Ngoc Van "/>
    <n v="929413516"/>
    <n v="8990000"/>
    <n v="1"/>
    <n v="8990000"/>
    <n v="12"/>
    <n v="49"/>
    <d v="2024-12-07T00:00:00"/>
    <x v="1"/>
    <s v="May tinh bang"/>
    <s v="Xiaomi Pad 6"/>
  </r>
  <r>
    <s v="[DH203] "/>
    <s v=" Duong Ngoc Hanh "/>
    <n v="938876195"/>
    <n v="280000"/>
    <n v="1"/>
    <n v="280000"/>
    <n v="12"/>
    <n v="50"/>
    <d v="2024-12-12T00:00:00"/>
    <x v="0"/>
    <s v="Phu kien"/>
    <s v="Sac du phong 10000mAh"/>
  </r>
  <r>
    <s v="[DH062] "/>
    <s v=" Le Kim Em "/>
    <n v="971968116"/>
    <n v="15990000"/>
    <n v="2"/>
    <n v="31980000"/>
    <n v="2"/>
    <n v="7"/>
    <d v="2024-02-12T00:00:00"/>
    <x v="1"/>
    <s v="Dien thoai"/>
    <s v="Xiaomi 14"/>
  </r>
  <r>
    <s v="[DH031] "/>
    <s v=" Tang Anh Uy "/>
    <n v="952462441"/>
    <n v="6990000"/>
    <n v="2"/>
    <n v="13980000"/>
    <n v="12"/>
    <n v="49"/>
    <d v="2024-12-07T00:00:00"/>
    <x v="2"/>
    <s v="Dien thoai"/>
    <s v="Realme 12 Pro"/>
  </r>
  <r>
    <s v="[DH168] "/>
    <s v=" Truong Minh Em "/>
    <n v="915140967"/>
    <n v="12500000"/>
    <s v="1"/>
    <n v="12500000"/>
    <n v="12"/>
    <n v="53"/>
    <d v="2024-12-30T00:00:00"/>
    <x v="0"/>
    <s v="May tinh bang"/>
    <s v="iPad Gen 10"/>
  </r>
  <r>
    <s v="[DH251] "/>
    <s v=" Dinh Van Giang "/>
    <n v="935504548"/>
    <n v="250000"/>
    <n v="4"/>
    <n v="1000000"/>
    <n v="12"/>
    <n v="49"/>
    <d v="2024-12-04T00:00:00"/>
    <x v="0"/>
    <s v="Phu kien"/>
    <s v="Cap sac Lightning"/>
  </r>
  <r>
    <s v="[DH191] "/>
    <s v=" Chau Hoang Quynh "/>
    <n v="964953237"/>
    <n v="280000"/>
    <s v="3"/>
    <n v="840000"/>
    <n v="12"/>
    <n v="49"/>
    <d v="2024-12-03T00:00:00"/>
    <x v="1"/>
    <s v="Phu kien"/>
    <s v="Sac du phong 10000mAh"/>
  </r>
  <r>
    <s v="[DH228] "/>
    <s v=" Cao Kim Uy "/>
    <n v="954013571"/>
    <n v="28990000"/>
    <n v="1"/>
    <n v="28990000"/>
    <n v="12"/>
    <n v="50"/>
    <d v="2024-12-13T00:00:00"/>
    <x v="1"/>
    <s v="Dien thoai"/>
    <s v="iPhone 15 Pro Max"/>
  </r>
  <r>
    <s v="[DH212] "/>
    <s v=" Tang Ngoc Phuong "/>
    <n v="980361272"/>
    <n v="3990000"/>
    <n v="4"/>
    <n v="15960000"/>
    <n v="12"/>
    <n v="52"/>
    <d v="2024-12-24T00:00:00"/>
    <x v="2"/>
    <s v="Phu kien"/>
    <s v="AirPods 3"/>
  </r>
  <r>
    <s v="[DH222] "/>
    <s v=" Nguyen Hoang Phuong "/>
    <n v="964614193"/>
    <n v="3990000"/>
    <s v="4"/>
    <n v="15960000"/>
    <n v="12"/>
    <n v="53"/>
    <d v="2024-12-30T00:00:00"/>
    <x v="1"/>
    <s v="Phu kien"/>
    <s v="AirPods 3"/>
  </r>
  <r>
    <s v="[DH091] "/>
    <s v=" Chau Duc Phuc "/>
    <n v="983832717"/>
    <n v="22990000"/>
    <n v="2"/>
    <n v="45980000"/>
    <n v="12"/>
    <n v="51"/>
    <d v="2024-12-15T00:00:00"/>
    <x v="1"/>
    <s v="Dien thoai"/>
    <s v="iPhone 15 Pro"/>
  </r>
  <r>
    <s v="[DH237] "/>
    <s v=" Nguyen Hong Xuan "/>
    <n v="919801857"/>
    <n v="22990000"/>
    <s v="1"/>
    <n v="22990000"/>
    <n v="12"/>
    <n v="50"/>
    <d v="2024-12-14T00:00:00"/>
    <x v="2"/>
    <s v="Dien thoai"/>
    <s v="iPhone 15 Pro"/>
  </r>
  <r>
    <s v="[DH173] "/>
    <s v=" Duong Hoang Uy "/>
    <n v="978131950"/>
    <n v="450000"/>
    <n v="4"/>
    <n v="1800000"/>
    <n v="1"/>
    <n v="2"/>
    <d v="2024-01-12T00:00:00"/>
    <x v="1"/>
    <s v="Phu kien"/>
    <s v="Sac du phong 20000mAh"/>
  </r>
  <r>
    <s v="[DH151] "/>
    <s v=" Tang Van Ngoc "/>
    <n v="978093604"/>
    <n v="28990000"/>
    <n v="2"/>
    <n v="57980000"/>
    <n v="10"/>
    <n v="41"/>
    <d v="2024-10-12T00:00:00"/>
    <x v="1"/>
    <s v="Dien thoai"/>
    <s v="iPhone 15 Pro Max"/>
  </r>
  <r>
    <s v="[DH101] "/>
    <s v=" Pham Hoang Son "/>
    <n v="912059919"/>
    <n v="250000"/>
    <n v="2"/>
    <n v="500000"/>
    <n v="5"/>
    <n v="20"/>
    <d v="2024-05-12T00:00:00"/>
    <x v="1"/>
    <s v="Phu kien"/>
    <s v="Cap sac Lightning"/>
  </r>
  <r>
    <s v="[DH157] "/>
    <s v=" Quach Minh Minh "/>
    <n v="920939011"/>
    <n v="280000"/>
    <n v="3"/>
    <n v="840000"/>
    <n v="12"/>
    <n v="52"/>
    <d v="2024-12-22T00:00:00"/>
    <x v="0"/>
    <s v="Phu kien"/>
    <s v="Sac du phong 10000mAh"/>
  </r>
  <r>
    <s v="[DH195] "/>
    <s v=" La Thi Uy "/>
    <n v="996031876"/>
    <n v="15990000"/>
    <n v="1"/>
    <n v="15990000"/>
    <n v="12"/>
    <n v="51"/>
    <d v="2024-12-19T00:00:00"/>
    <x v="0"/>
    <s v="Dien thoai"/>
    <s v="Xiaomi 14"/>
  </r>
  <r>
    <s v="[DH153] "/>
    <s v=" Tran Ngoc Xuan "/>
    <n v="997488142"/>
    <n v="18990000"/>
    <s v="2"/>
    <n v="37980000"/>
    <n v="12"/>
    <n v="50"/>
    <d v="2024-12-11T00:00:00"/>
    <x v="2"/>
    <s v="Dien thoai"/>
    <s v="OPPO Find X6"/>
  </r>
  <r>
    <s v="[DH081] "/>
    <s v=" Dinh Thi Hanh "/>
    <n v="925898299"/>
    <n v="450000"/>
    <s v="5"/>
    <n v="2250000"/>
    <n v="12"/>
    <n v="52"/>
    <d v="2024-12-25T00:00:00"/>
    <x v="2"/>
    <s v="Phu kien"/>
    <s v="Sac du phong 20000mAh"/>
  </r>
  <r>
    <s v="[DH200] "/>
    <s v=" Duong Hoang Dung "/>
    <n v="952831009"/>
    <n v="9990000"/>
    <n v="2"/>
    <n v="19980000"/>
    <n v="12"/>
    <n v="51"/>
    <d v="2024-12-15T00:00:00"/>
    <x v="2"/>
    <s v="Dien thoai"/>
    <s v="Vivo V29"/>
  </r>
  <r>
    <s v="[DH136] "/>
    <s v=" Bui Van Phuong "/>
    <n v="946677730"/>
    <n v="5290000"/>
    <n v="3"/>
    <n v="15870000"/>
    <n v="12"/>
    <n v="52"/>
    <d v="2024-12-25T00:00:00"/>
    <x v="2"/>
    <s v="Phu kien"/>
    <s v="Apple Watch SE"/>
  </r>
  <r>
    <s v="[DH126] "/>
    <s v=" Ma Hoang Hanh "/>
    <n v="992558242"/>
    <n v="22990000"/>
    <n v="2"/>
    <n v="45980000"/>
    <n v="12"/>
    <n v="52"/>
    <d v="2024-12-24T00:00:00"/>
    <x v="2"/>
    <s v="Dien thoai"/>
    <s v="iPhone 15 Pro"/>
  </r>
  <r>
    <s v="[DH068] "/>
    <s v=" Quach Thi Xuan "/>
    <n v="915512205"/>
    <n v="9990000"/>
    <n v="2"/>
    <n v="19980000"/>
    <n v="12"/>
    <n v="51"/>
    <d v="2024-12-18T00:00:00"/>
    <x v="1"/>
    <s v="May tinh bang"/>
    <s v="Samsung Tab A9"/>
  </r>
  <r>
    <s v="[DH224] "/>
    <s v=" Vu Kim Phuong "/>
    <n v="914877451"/>
    <n v="8990000"/>
    <s v="1"/>
    <n v="8990000"/>
    <n v="12"/>
    <n v="52"/>
    <d v="2024-12-26T00:00:00"/>
    <x v="1"/>
    <s v="May tinh bang"/>
    <s v="Xiaomi Pad 6"/>
  </r>
  <r>
    <s v="[DH118] "/>
    <s v=" La Minh Phuc "/>
    <n v="970887034"/>
    <n v="9990000"/>
    <s v="2"/>
    <n v="19980000"/>
    <n v="12"/>
    <n v="52"/>
    <d v="2024-12-22T00:00:00"/>
    <x v="2"/>
    <s v="May tinh bang"/>
    <s v="Samsung Tab A9"/>
  </r>
  <r>
    <s v="[DH193] "/>
    <s v=" Pham Hoang Em "/>
    <n v="950818905"/>
    <n v="15990000"/>
    <n v="1"/>
    <n v="15990000"/>
    <n v="6"/>
    <n v="24"/>
    <d v="2024-06-12T00:00:00"/>
    <x v="0"/>
    <s v="Dien thoai"/>
    <s v="Xiaomi 14"/>
  </r>
  <r>
    <s v="[DH084] "/>
    <s v=" Le Minh An "/>
    <n v="964830300"/>
    <n v="350000"/>
    <n v="4"/>
    <n v="1400000"/>
    <n v="12"/>
    <n v="52"/>
    <d v="2024-12-23T00:00:00"/>
    <x v="1"/>
    <s v="Phu kien"/>
    <s v="Op lung Samsung"/>
  </r>
  <r>
    <s v="[DH094] "/>
    <s v=" Quach Hong Phuong "/>
    <n v="951708177"/>
    <n v="450000"/>
    <n v="4"/>
    <n v="1800000"/>
    <n v="12"/>
    <n v="49"/>
    <d v="2024-12-01T00:00:00"/>
    <x v="2"/>
    <s v="Phu kien"/>
    <s v="Sac du phong 20000mAh"/>
  </r>
  <r>
    <s v="[DH261] "/>
    <s v=" Duong Kim Phuong "/>
    <n v="924363501"/>
    <n v="18990000"/>
    <n v="1"/>
    <n v="18990000"/>
    <n v="12"/>
    <n v="51"/>
    <d v="2024-12-17T00:00:00"/>
    <x v="1"/>
    <s v="Dien thoai"/>
    <s v="Samsung S24"/>
  </r>
  <r>
    <s v="[DH138] "/>
    <s v=" To Ngoc Minh "/>
    <n v="931127115"/>
    <n v="9990000"/>
    <s v="2"/>
    <n v="19980000"/>
    <n v="12"/>
    <n v="50"/>
    <d v="2024-12-10T00:00:00"/>
    <x v="2"/>
    <s v="May tinh bang"/>
    <s v="Samsung Tab A9"/>
  </r>
  <r>
    <s v="[DH027] "/>
    <s v=" Cao Van Phuc "/>
    <n v="945594951"/>
    <n v="350000"/>
    <s v="5"/>
    <n v="1750000"/>
    <n v="10"/>
    <n v="41"/>
    <d v="2024-10-12T00:00:00"/>
    <x v="2"/>
    <s v="Phu kien"/>
    <s v="Op lung Samsung"/>
  </r>
  <r>
    <s v="[DH148] "/>
    <s v=" Ly Minh Hanh "/>
    <n v="923798190"/>
    <n v="25990000"/>
    <s v="1"/>
    <n v="25990000"/>
    <n v="12"/>
    <n v="50"/>
    <d v="2024-12-09T00:00:00"/>
    <x v="0"/>
    <s v="Dien thoai"/>
    <s v="Samsung S24 Ultra"/>
  </r>
  <r>
    <s v="[DH017] "/>
    <s v=" Pham Thanh Lan "/>
    <n v="942138745"/>
    <n v="22990000"/>
    <n v="1"/>
    <n v="22990000"/>
    <n v="12"/>
    <n v="50"/>
    <d v="2024-12-08T00:00:00"/>
    <x v="2"/>
    <s v="Dien thoai"/>
    <s v="iPhone 15 Pro"/>
  </r>
  <r>
    <s v="[DH252] "/>
    <s v=" Do Kim Hanh "/>
    <n v="984098828"/>
    <n v="18490000"/>
    <n v="2"/>
    <n v="36980000"/>
    <n v="12"/>
    <n v="52"/>
    <d v="2024-12-25T00:00:00"/>
    <x v="1"/>
    <s v="May tinh bang"/>
    <s v="iPad Air"/>
  </r>
  <r>
    <s v="[DH240] "/>
    <s v=" Pham Minh Van "/>
    <n v="962755436"/>
    <n v="890000"/>
    <n v="2"/>
    <n v="1780000"/>
    <n v="12"/>
    <n v="49"/>
    <d v="2024-12-05T00:00:00"/>
    <x v="1"/>
    <s v="Phu kien"/>
    <s v="Tai nghe Bluetooth"/>
  </r>
  <r>
    <s v="[DH273] "/>
    <s v=" Ma Hoang Van "/>
    <n v="978778646"/>
    <n v="8900000"/>
    <n v="1"/>
    <n v="8900000"/>
    <n v="12"/>
    <n v="49"/>
    <d v="2024-12-04T00:00:00"/>
    <x v="0"/>
    <s v="May tinh bang"/>
    <s v="Lenovo Tab M10"/>
  </r>
  <r>
    <s v="[DH181] "/>
    <s v=" Dinh Duc Son "/>
    <n v="990882505"/>
    <n v="5290000"/>
    <n v="4"/>
    <n v="21160000"/>
    <n v="12"/>
    <n v="50"/>
    <d v="2024-12-14T00:00:00"/>
    <x v="0"/>
    <s v="Phu kien"/>
    <s v="Apple Watch SE"/>
  </r>
  <r>
    <s v="[DH100] "/>
    <s v=" Hoang Ngoc Binh "/>
    <n v="926944487"/>
    <n v="890000"/>
    <n v="3"/>
    <n v="2670000"/>
    <n v="12"/>
    <n v="53"/>
    <d v="2024-12-31T00:00:00"/>
    <x v="1"/>
    <s v="Phu kien"/>
    <s v="Tai nghe Bluetooth"/>
  </r>
  <r>
    <s v="[DH207] "/>
    <s v=" Ly Thanh Van "/>
    <n v="959070856"/>
    <n v="190000"/>
    <s v="5"/>
    <n v="950000"/>
    <n v="12"/>
    <n v="49"/>
    <d v="2024-12-05T00:00:00"/>
    <x v="2"/>
    <s v="Phu kien"/>
    <s v="Tai nghe co day"/>
  </r>
  <r>
    <s v="[DH152] "/>
    <s v=" Le Thi Yen "/>
    <n v="989736043"/>
    <n v="890000"/>
    <s v="5"/>
    <n v="4450000"/>
    <n v="12"/>
    <n v="50"/>
    <d v="2024-12-13T00:00:00"/>
    <x v="0"/>
    <s v="Phu kien"/>
    <s v="Tai nghe Bluetooth"/>
  </r>
  <r>
    <s v="[DH231] "/>
    <s v=" Vu Kim Uy "/>
    <n v="951738753"/>
    <n v="5290000"/>
    <n v="3"/>
    <n v="15870000"/>
    <n v="12"/>
    <n v="49"/>
    <d v="2024-12-04T00:00:00"/>
    <x v="2"/>
    <s v="Phu kien"/>
    <s v="Apple Watch SE"/>
  </r>
  <r>
    <s v="[DH271] "/>
    <s v=" Ngo Thi Cuong "/>
    <n v="945966597"/>
    <n v="25990000"/>
    <s v="1"/>
    <n v="25990000"/>
    <n v="12"/>
    <n v="50"/>
    <d v="2024-12-13T00:00:00"/>
    <x v="1"/>
    <s v="Dien thoai"/>
    <s v="Samsung S24 Ultra"/>
  </r>
  <r>
    <s v="[DH158] "/>
    <s v=" Cao Minh Yen "/>
    <n v="921370793"/>
    <n v="12500000"/>
    <n v="2"/>
    <n v="25000000"/>
    <n v="12"/>
    <n v="51"/>
    <d v="2024-12-18T00:00:00"/>
    <x v="0"/>
    <s v="May tinh bang"/>
    <s v="iPad Gen 10"/>
  </r>
  <r>
    <s v="[DH189] "/>
    <s v=" Vu Thanh Uy "/>
    <n v="940097200"/>
    <n v="18990000"/>
    <n v="1"/>
    <n v="18990000"/>
    <n v="12"/>
    <n v="49"/>
    <d v="2024-12-07T00:00:00"/>
    <x v="0"/>
    <s v="Dien thoai"/>
    <s v="Samsung S24"/>
  </r>
  <r>
    <s v="[DH008] "/>
    <s v=" Bui Thi Yen "/>
    <n v="995225343"/>
    <n v="15990000"/>
    <n v="1"/>
    <n v="15990000"/>
    <n v="12"/>
    <n v="51"/>
    <d v="2024-12-18T00:00:00"/>
    <x v="1"/>
    <s v="Dien thoai"/>
    <s v="Xiaomi 14"/>
  </r>
  <r>
    <s v="[DH102] "/>
    <s v=" Truong Anh Phuc "/>
    <n v="997219599"/>
    <n v="28990000"/>
    <n v="2"/>
    <n v="57980000"/>
    <n v="12"/>
    <n v="52"/>
    <d v="2024-12-28T00:00:00"/>
    <x v="1"/>
    <s v="Dien thoai"/>
    <s v="iPhone 15 Pro Max"/>
  </r>
  <r>
    <s v="[DH111] "/>
    <s v=" Quach Duc Em "/>
    <n v="994322033"/>
    <n v="18990000"/>
    <n v="1"/>
    <n v="18990000"/>
    <n v="12"/>
    <n v="53"/>
    <d v="2024-12-29T00:00:00"/>
    <x v="2"/>
    <s v="Dien thoai"/>
    <s v="Samsung S24"/>
  </r>
  <r>
    <s v="[DH169] "/>
    <s v=" Nguyen Thi An "/>
    <n v="944349528"/>
    <n v="18990000"/>
    <n v="2"/>
    <n v="37980000"/>
    <n v="12"/>
    <n v="52"/>
    <d v="2024-12-27T00:00:00"/>
    <x v="2"/>
    <s v="Dien thoai"/>
    <s v="OPPO Find X6"/>
  </r>
  <r>
    <s v="[DH164] "/>
    <s v=" Ma Ngoc Lan "/>
    <n v="961254050"/>
    <n v="890000"/>
    <n v="2"/>
    <n v="1780000"/>
    <n v="12"/>
    <n v="51"/>
    <d v="2024-12-17T00:00:00"/>
    <x v="2"/>
    <s v="Phu kien"/>
    <s v="Tai nghe Bluetooth"/>
  </r>
  <r>
    <s v="[DH202] "/>
    <s v=" Vu Ngoc Uy "/>
    <n v="972654864"/>
    <n v="150000"/>
    <n v="4"/>
    <n v="600000"/>
    <n v="12"/>
    <n v="53"/>
    <d v="2024-12-29T00:00:00"/>
    <x v="1"/>
    <s v="Phu kien"/>
    <s v="Cap sac Type-C"/>
  </r>
  <r>
    <s v="[DH048] "/>
    <s v=" Cao Minh Yen "/>
    <n v="986384014"/>
    <n v="12500000"/>
    <n v="1"/>
    <n v="12500000"/>
    <n v="12"/>
    <n v="50"/>
    <d v="2024-12-13T00:00:00"/>
    <x v="1"/>
    <s v="May tinh bang"/>
    <s v="iPad Gen 10"/>
  </r>
  <r>
    <s v="[DH162] "/>
    <s v=" Quach Minh Son "/>
    <n v="915864298"/>
    <n v="8900000"/>
    <n v="1"/>
    <n v="8900000"/>
    <n v="12"/>
    <n v="50"/>
    <d v="2024-12-12T00:00:00"/>
    <x v="0"/>
    <s v="May tinh bang"/>
    <s v="Lenovo Tab M10"/>
  </r>
  <r>
    <s v="[DH104] "/>
    <s v=" Pham Thi Son "/>
    <n v="932329103"/>
    <n v="5290000"/>
    <n v="1"/>
    <n v="5290000"/>
    <n v="12"/>
    <n v="50"/>
    <d v="2024-12-10T00:00:00"/>
    <x v="1"/>
    <s v="Phu kien"/>
    <s v="Apple Watch SE"/>
  </r>
  <r>
    <s v="[DH060] "/>
    <s v=" La Hoang Yen "/>
    <n v="939600202"/>
    <n v="150000"/>
    <n v="4"/>
    <n v="600000"/>
    <n v="8"/>
    <n v="33"/>
    <d v="2024-08-12T00:00:00"/>
    <x v="1"/>
    <s v="Phu kien"/>
    <s v="Cap sac Type-C"/>
  </r>
  <r>
    <s v="[DH119] "/>
    <s v=" To Thi Tam "/>
    <n v="992631441"/>
    <n v="8900000"/>
    <s v="1"/>
    <n v="8900000"/>
    <n v="12"/>
    <n v="53"/>
    <d v="2024-12-31T00:00:00"/>
    <x v="1"/>
    <s v="May tinh bang"/>
    <s v="Lenovo Tab M10"/>
  </r>
  <r>
    <s v="[DH110] "/>
    <s v=" Tran Anh Tam "/>
    <n v="948412328"/>
    <n v="190000"/>
    <n v="5"/>
    <n v="950000"/>
    <n v="12"/>
    <n v="52"/>
    <d v="2024-12-26T00:00:00"/>
    <x v="2"/>
    <s v="Phu kien"/>
    <s v="Tai nghe co day"/>
  </r>
  <r>
    <s v="[DH144] "/>
    <s v=" Tran Kim An "/>
    <n v="971707170"/>
    <n v="28990000"/>
    <s v="2"/>
    <n v="57980000"/>
    <n v="12"/>
    <n v="52"/>
    <d v="2024-12-28T00:00:00"/>
    <x v="0"/>
    <s v="Dien thoai"/>
    <s v="iPhone 15 Pro Max"/>
  </r>
  <r>
    <s v="[DH085] "/>
    <s v=" Dinh Ngoc Cuong "/>
    <n v="941329612"/>
    <n v="6990000"/>
    <n v="1"/>
    <n v="6990000"/>
    <n v="12"/>
    <n v="52"/>
    <d v="2024-12-26T00:00:00"/>
    <x v="2"/>
    <s v="Dien thoai"/>
    <s v="Realme 12 Pro"/>
  </r>
  <r>
    <s v="[DH041] "/>
    <s v=" Ngo Duc Phuong "/>
    <n v="924508349"/>
    <n v="8990000"/>
    <n v="2"/>
    <n v="17980000"/>
    <n v="12"/>
    <n v="52"/>
    <d v="2024-12-28T00:00:00"/>
    <x v="1"/>
    <s v="May tinh bang"/>
    <s v="Xiaomi Pad 6"/>
  </r>
  <r>
    <s v="[DH142] "/>
    <s v=" Dinh Hong Em "/>
    <n v="944295247"/>
    <n v="12500000"/>
    <n v="1"/>
    <n v="12500000"/>
    <n v="12"/>
    <n v="50"/>
    <d v="2024-12-11T00:00:00"/>
    <x v="2"/>
    <s v="May tinh bang"/>
    <s v="iPad Gen 10"/>
  </r>
  <r>
    <s v="[DH270] "/>
    <s v=" Chau Hong Ngoc "/>
    <n v="984227466"/>
    <n v="8990000"/>
    <n v="2"/>
    <n v="17980000"/>
    <n v="12"/>
    <n v="50"/>
    <d v="2024-12-14T00:00:00"/>
    <x v="1"/>
    <s v="May tinh bang"/>
    <s v="Xiaomi Pad 6"/>
  </r>
  <r>
    <s v="[DH063] "/>
    <s v=" Truong Kim Kien "/>
    <n v="966581473"/>
    <n v="6990000"/>
    <n v="2"/>
    <n v="13980000"/>
    <n v="12"/>
    <n v="52"/>
    <d v="2024-12-27T00:00:00"/>
    <x v="2"/>
    <s v="Dien thoai"/>
    <s v="Realme 12 Pro"/>
  </r>
  <r>
    <s v="[DH190] "/>
    <s v=" Tang Thanh Son "/>
    <n v="984040798"/>
    <n v="25990000"/>
    <n v="1"/>
    <n v="25990000"/>
    <n v="12"/>
    <n v="51"/>
    <d v="2024-12-20T00:00:00"/>
    <x v="0"/>
    <s v="Dien thoai"/>
    <s v="Samsung S24 Ultra"/>
  </r>
  <r>
    <s v="[DH043] "/>
    <s v=" Bui Thanh Uy "/>
    <n v="963643924"/>
    <n v="2990000"/>
    <n v="3"/>
    <n v="8970000"/>
    <n v="12"/>
    <n v="52"/>
    <d v="2024-12-27T00:00:00"/>
    <x v="1"/>
    <s v="Phu kien"/>
    <s v="Galaxy Buds2 Pro"/>
  </r>
  <r>
    <s v="[DH276] "/>
    <s v=" Vu Kim Kien "/>
    <n v="966519399"/>
    <n v="12500000"/>
    <n v="2"/>
    <n v="25000000"/>
    <n v="12"/>
    <n v="51"/>
    <d v="2024-12-16T00:00:00"/>
    <x v="0"/>
    <s v="May tinh bang"/>
    <s v="iPad Gen 10"/>
  </r>
  <r>
    <s v="[DH174] "/>
    <s v=" Bui Van Ngoc "/>
    <n v="919067690"/>
    <n v="9990000"/>
    <s v="1"/>
    <n v="9990000"/>
    <n v="12"/>
    <n v="50"/>
    <d v="2024-12-08T00:00:00"/>
    <x v="1"/>
    <s v="May tinh bang"/>
    <s v="Samsung Tab A9"/>
  </r>
  <r>
    <s v="[DH028] "/>
    <s v=" Do Duc Giang "/>
    <n v="917849494"/>
    <n v="280000"/>
    <s v="1"/>
    <n v="280000"/>
    <n v="12"/>
    <n v="52"/>
    <d v="2024-12-24T00:00:00"/>
    <x v="2"/>
    <s v="Phu kien"/>
    <s v="Sac du phong 10000mAh"/>
  </r>
  <r>
    <s v="[DH166] "/>
    <s v=" Bui Ngoc Uy "/>
    <n v="929776801"/>
    <n v="8900000"/>
    <n v="2"/>
    <n v="17800000"/>
    <n v="12"/>
    <n v="49"/>
    <d v="2024-12-03T00:00:00"/>
    <x v="1"/>
    <s v="May tinh bang"/>
    <s v="Lenovo Tab M10"/>
  </r>
  <r>
    <s v="[DH243] "/>
    <s v=" Tran Ngoc Yen "/>
    <n v="916533225"/>
    <n v="9990000"/>
    <n v="2"/>
    <n v="19980000"/>
    <n v="12"/>
    <n v="52"/>
    <d v="2024-12-24T00:00:00"/>
    <x v="2"/>
    <s v="Dien thoai"/>
    <s v="Vivo V29"/>
  </r>
  <r>
    <s v="[DH218] "/>
    <s v=" La Kim Phuc "/>
    <n v="956323191"/>
    <n v="190000"/>
    <n v="3"/>
    <n v="570000"/>
    <n v="12"/>
    <n v="52"/>
    <d v="2024-12-26T00:00:00"/>
    <x v="0"/>
    <s v="Phu kien"/>
    <s v="Tai nghe co day"/>
  </r>
  <r>
    <s v="[DH272] "/>
    <s v=" Pham Thi An "/>
    <n v="951374957"/>
    <n v="350000"/>
    <n v="1"/>
    <n v="350000"/>
    <n v="12"/>
    <n v="50"/>
    <d v="2024-12-12T00:00:00"/>
    <x v="1"/>
    <s v="Phu kien"/>
    <s v="Op lung Samsung"/>
  </r>
  <r>
    <s v="[DH250] "/>
    <s v=" Quach Anh Binh "/>
    <n v="919768947"/>
    <n v="18990000"/>
    <n v="1"/>
    <n v="18990000"/>
    <n v="12"/>
    <n v="52"/>
    <d v="2024-12-26T00:00:00"/>
    <x v="1"/>
    <s v="Dien thoai"/>
    <s v="OPPO Find X6"/>
  </r>
  <r>
    <s v="[DH208] "/>
    <s v=" Tran Van Em "/>
    <n v="954699966"/>
    <n v="150000"/>
    <s v="2"/>
    <n v="300000"/>
    <n v="12"/>
    <n v="51"/>
    <d v="2024-12-17T00:00:00"/>
    <x v="2"/>
    <s v="Phu kien"/>
    <s v="Cap sac Type-C"/>
  </r>
  <r>
    <s v="[DH077] "/>
    <s v=" Bui Anh Uy "/>
    <n v="990099897"/>
    <n v="12500000"/>
    <n v="2"/>
    <n v="25000000"/>
    <n v="12"/>
    <n v="49"/>
    <d v="2024-12-04T00:00:00"/>
    <x v="1"/>
    <s v="May tinh bang"/>
    <s v="iPad Gen 10"/>
  </r>
  <r>
    <s v="[DH018] "/>
    <s v=" La Minh Em "/>
    <n v="998550256"/>
    <n v="150000"/>
    <n v="2"/>
    <n v="300000"/>
    <n v="12"/>
    <n v="53"/>
    <d v="2024-12-31T00:00:00"/>
    <x v="0"/>
    <s v="Phu kien"/>
    <s v="Cap sac Type-C"/>
  </r>
  <r>
    <s v="[DH082] "/>
    <s v=" Duong Kim Son "/>
    <n v="969421007"/>
    <n v="12500000"/>
    <n v="2"/>
    <n v="25000000"/>
    <n v="12"/>
    <n v="52"/>
    <d v="2024-12-28T00:00:00"/>
    <x v="2"/>
    <s v="May tinh bang"/>
    <s v="iPad Gen 10"/>
  </r>
  <r>
    <s v="[DH116] "/>
    <s v=" Ly Thi Hanh "/>
    <n v="973280554"/>
    <n v="12500000"/>
    <s v="2"/>
    <n v="25000000"/>
    <n v="12"/>
    <n v="51"/>
    <d v="2024-12-20T00:00:00"/>
    <x v="2"/>
    <s v="Dien thoai"/>
    <s v="iPhone 15"/>
  </r>
  <r>
    <s v="[DH179] "/>
    <s v=" Ma Kim Minh "/>
    <n v="935074182"/>
    <n v="150000"/>
    <s v="3"/>
    <n v="450000"/>
    <n v="12"/>
    <n v="52"/>
    <d v="2024-12-23T00:00:00"/>
    <x v="2"/>
    <s v="Phu kien"/>
    <s v="Cap sac Type-C"/>
  </r>
  <r>
    <s v="[DH113] "/>
    <s v=" Ly Hoang Uy "/>
    <n v="946578001"/>
    <n v="15990000"/>
    <s v="2"/>
    <n v="31980000"/>
    <n v="9"/>
    <n v="37"/>
    <d v="2024-09-12T00:00:00"/>
    <x v="2"/>
    <s v="Dien thoai"/>
    <s v="Xiaomi 14"/>
  </r>
  <r>
    <s v="[DH025] "/>
    <s v=" Vu Duc Son "/>
    <n v="943528453"/>
    <n v="28990000"/>
    <n v="1"/>
    <n v="28990000"/>
    <n v="12"/>
    <n v="51"/>
    <d v="2024-12-15T00:00:00"/>
    <x v="0"/>
    <s v="Dien thoai"/>
    <s v="iPhone 15 Pro Max"/>
  </r>
  <r>
    <s v="[DH122] "/>
    <s v=" Hoang Anh Giang "/>
    <n v="919208698"/>
    <n v="190000"/>
    <n v="5"/>
    <n v="950000"/>
    <n v="12"/>
    <n v="51"/>
    <d v="2024-12-18T00:00:00"/>
    <x v="2"/>
    <s v="Phu kien"/>
    <s v="Tai nghe co day"/>
  </r>
  <r>
    <s v="[DH245] "/>
    <s v=" Truong Hong Lan "/>
    <n v="929228089"/>
    <n v="2990000"/>
    <n v="4"/>
    <n v="11960000"/>
    <n v="12"/>
    <n v="51"/>
    <d v="2024-12-17T00:00:00"/>
    <x v="0"/>
    <s v="Phu kien"/>
    <s v="Galaxy Buds2 Pro"/>
  </r>
  <r>
    <s v="[DH134] "/>
    <s v=" Hoang Ngoc Hanh "/>
    <n v="924524825"/>
    <n v="9990000"/>
    <n v="2"/>
    <n v="19980000"/>
    <n v="12"/>
    <n v="52"/>
    <d v="2024-12-28T00:00:00"/>
    <x v="0"/>
    <s v="May tinh bang"/>
    <s v="Samsung Tab A9"/>
  </r>
  <r>
    <s v="[DH053] "/>
    <s v=" Nguyen Thi Quynh "/>
    <n v="939372360"/>
    <n v="15990000"/>
    <n v="2"/>
    <n v="31980000"/>
    <n v="12"/>
    <n v="52"/>
    <d v="2024-12-26T00:00:00"/>
    <x v="2"/>
    <s v="Dien thoai"/>
    <s v="Xiaomi 14"/>
  </r>
  <r>
    <s v="[DH263] "/>
    <s v=" Ngo Duc Cuong "/>
    <n v="997742922"/>
    <n v="3990000"/>
    <n v="1"/>
    <n v="3990000"/>
    <n v="12"/>
    <n v="52"/>
    <d v="2024-12-25T00:00:00"/>
    <x v="0"/>
    <s v="Phu kien"/>
    <s v="AirPods 3"/>
  </r>
  <r>
    <s v="[DH117] "/>
    <s v=" Ma Duc Quynh "/>
    <n v="925659979"/>
    <n v="25990000"/>
    <n v="2"/>
    <n v="51980000"/>
    <n v="12"/>
    <n v="49"/>
    <d v="2024-12-02T00:00:00"/>
    <x v="2"/>
    <s v="Dien thoai"/>
    <s v="Samsung S24 Ultra"/>
  </r>
  <r>
    <s v="[DH088] "/>
    <s v=" Truong Anh Kien "/>
    <n v="913471527"/>
    <n v="28990000"/>
    <s v="1"/>
    <n v="28990000"/>
    <n v="12"/>
    <n v="50"/>
    <d v="2024-12-08T00:00:00"/>
    <x v="0"/>
    <s v="Dien thoai"/>
    <s v="iPhone 15 Pro Max"/>
  </r>
  <r>
    <s v="[DH080] "/>
    <s v=" Bui Ngoc Dung "/>
    <n v="918770247"/>
    <n v="8990000"/>
    <n v="1"/>
    <n v="8990000"/>
    <n v="12"/>
    <n v="51"/>
    <d v="2024-12-16T00:00:00"/>
    <x v="0"/>
    <s v="May tinh bang"/>
    <s v="Xiaomi Pad 6"/>
  </r>
  <r>
    <s v="[DH090] "/>
    <s v=" Le Ngoc Ngoc "/>
    <n v="964807553"/>
    <n v="18490000"/>
    <n v="1"/>
    <n v="18490000"/>
    <n v="12"/>
    <n v="50"/>
    <d v="2024-12-11T00:00:00"/>
    <x v="0"/>
    <s v="May tinh bang"/>
    <s v="iPad Air"/>
  </r>
  <r>
    <s v="[DH037] "/>
    <s v=" Hoang Duc Phuong "/>
    <n v="969302158"/>
    <n v="450000"/>
    <n v="5"/>
    <n v="2250000"/>
    <n v="12"/>
    <n v="52"/>
    <d v="2024-12-23T00:00:00"/>
    <x v="0"/>
    <s v="Phu kien"/>
    <s v="Sac du phong 20000mAh"/>
  </r>
  <r>
    <s v="[DH187] "/>
    <s v=" Dinh Ngoc Giang "/>
    <n v="926460116"/>
    <n v="25990000"/>
    <n v="2"/>
    <n v="51980000"/>
    <n v="12"/>
    <n v="52"/>
    <d v="2024-12-28T00:00:00"/>
    <x v="1"/>
    <s v="Dien thoai"/>
    <s v="Samsung S24 Ultra"/>
  </r>
  <r>
    <s v="[DH241] "/>
    <s v=" Ma Hoang Quynh "/>
    <n v="981394920"/>
    <n v="8990000"/>
    <n v="1"/>
    <n v="8990000"/>
    <n v="12"/>
    <n v="52"/>
    <d v="2024-12-27T00:00:00"/>
    <x v="1"/>
    <s v="May tinh bang"/>
    <s v="Xiaomi Pad 6"/>
  </r>
  <r>
    <s v="[DH213] "/>
    <s v=" Tran Anh Dung "/>
    <n v="935606639"/>
    <n v="12500000"/>
    <n v="2"/>
    <n v="25000000"/>
    <n v="12"/>
    <n v="51"/>
    <d v="2024-12-15T00:00:00"/>
    <x v="2"/>
    <s v="Dien thoai"/>
    <s v="iPhone 15"/>
  </r>
  <r>
    <s v="[DH022] "/>
    <s v=" La Minh Xuan "/>
    <n v="987337818"/>
    <n v="150000"/>
    <n v="4"/>
    <n v="600000"/>
    <n v="8"/>
    <n v="33"/>
    <d v="2024-08-12T00:00:00"/>
    <x v="0"/>
    <s v="Phu kien"/>
    <s v="Cap sac Type-C"/>
  </r>
  <r>
    <s v="[DH247] "/>
    <s v=" To Minh Lan "/>
    <n v="960527631"/>
    <n v="15990000"/>
    <n v="2"/>
    <n v="31980000"/>
    <n v="12"/>
    <n v="52"/>
    <d v="2024-12-25T00:00:00"/>
    <x v="1"/>
    <s v="Dien thoai"/>
    <s v="Xiaomi 14"/>
  </r>
  <r>
    <s v="[DH236] "/>
    <s v=" To Ngoc Xuan "/>
    <n v="917749299"/>
    <n v="450000"/>
    <s v="3"/>
    <n v="1350000"/>
    <n v="12"/>
    <n v="51"/>
    <d v="2024-12-15T00:00:00"/>
    <x v="1"/>
    <s v="Phu kien"/>
    <s v="Sac du phong 20000mAh"/>
  </r>
  <r>
    <s v="[DH107] "/>
    <s v=" Nguyen Ngoc Lan "/>
    <n v="983363160"/>
    <n v="15990000"/>
    <s v="2"/>
    <n v="31980000"/>
    <n v="3"/>
    <n v="11"/>
    <d v="2024-03-12T00:00:00"/>
    <x v="1"/>
    <s v="Dien thoai"/>
    <s v="Xiaomi 14"/>
  </r>
  <r>
    <s v="[DH076] "/>
    <s v=" Bui Hong Dung "/>
    <n v="935848226"/>
    <n v="18490000"/>
    <n v="1"/>
    <n v="18490000"/>
    <n v="12"/>
    <n v="49"/>
    <d v="2024-12-04T00:00:00"/>
    <x v="1"/>
    <s v="May tinh bang"/>
    <s v="iPad Air"/>
  </r>
  <r>
    <s v="[DH054] "/>
    <s v=" Ma Minh Son "/>
    <n v="999600766"/>
    <n v="890000"/>
    <n v="3"/>
    <n v="2670000"/>
    <n v="12"/>
    <n v="51"/>
    <d v="2024-12-18T00:00:00"/>
    <x v="0"/>
    <s v="Phu kien"/>
    <s v="Tai nghe Bluetooth"/>
  </r>
  <r>
    <s v="[DH248] "/>
    <s v=" Hoang Ngoc Binh "/>
    <n v="985482164"/>
    <n v="8900000"/>
    <n v="1"/>
    <n v="8900000"/>
    <n v="12"/>
    <n v="53"/>
    <d v="2024-12-31T00:00:00"/>
    <x v="2"/>
    <s v="May tinh bang"/>
    <s v="Lenovo Tab M10"/>
  </r>
  <r>
    <s v="[DH013] "/>
    <s v=" Cao Kim Yen "/>
    <n v="972820592"/>
    <n v="890000"/>
    <s v="1"/>
    <n v="890000"/>
    <n v="12"/>
    <n v="50"/>
    <d v="2024-12-09T00:00:00"/>
    <x v="0"/>
    <s v="Phu kien"/>
    <s v="Tai nghe Bluetooth"/>
  </r>
  <r>
    <s v="[DH177] "/>
    <s v=" Tran Thanh Lan "/>
    <n v="979173614"/>
    <n v="8990000"/>
    <n v="2"/>
    <n v="17980000"/>
    <n v="12"/>
    <n v="52"/>
    <d v="2024-12-27T00:00:00"/>
    <x v="0"/>
    <s v="May tinh bang"/>
    <s v="Xiaomi Pad 6"/>
  </r>
  <r>
    <s v="[DH078] "/>
    <s v=" Nguyen Hoang Em "/>
    <n v="946817443"/>
    <n v="22990000"/>
    <s v="2"/>
    <n v="45980000"/>
    <n v="12"/>
    <n v="49"/>
    <d v="2024-12-02T00:00:00"/>
    <x v="0"/>
    <s v="Dien thoai"/>
    <s v="iPhone 15 Pro"/>
  </r>
  <r>
    <s v="[DH257] "/>
    <s v=" Vu Minh Van "/>
    <n v="975540707"/>
    <n v="15990000"/>
    <s v="1"/>
    <n v="15990000"/>
    <n v="12"/>
    <n v="53"/>
    <d v="2024-12-30T00:00:00"/>
    <x v="2"/>
    <s v="Dien thoai"/>
    <s v="Xiaomi 14"/>
  </r>
  <r>
    <s v="[DH238] "/>
    <s v=" Chau Van Lan "/>
    <n v="964877191"/>
    <n v="15990000"/>
    <n v="2"/>
    <n v="31980000"/>
    <n v="12"/>
    <n v="52"/>
    <d v="2024-12-25T00:00:00"/>
    <x v="1"/>
    <s v="Dien thoai"/>
    <s v="Xiaomi 14"/>
  </r>
  <r>
    <s v="[DH201] "/>
    <s v=" Tran Duc Phuc "/>
    <n v="992594562"/>
    <n v="8900000"/>
    <s v="2"/>
    <n v="17800000"/>
    <n v="12"/>
    <n v="50"/>
    <d v="2024-12-08T00:00:00"/>
    <x v="2"/>
    <s v="May tinh bang"/>
    <s v="Lenovo Tab M10"/>
  </r>
  <r>
    <s v="[DH192] "/>
    <s v=" Duong Thanh Em "/>
    <n v="983994695"/>
    <n v="3990000"/>
    <n v="2"/>
    <n v="7980000"/>
    <n v="12"/>
    <n v="51"/>
    <d v="2024-12-19T00:00:00"/>
    <x v="2"/>
    <s v="Phu kien"/>
    <s v="AirPods 3"/>
  </r>
  <r>
    <s v="[DH229] "/>
    <s v=" Truong Hong An "/>
    <n v="945002007"/>
    <n v="8990000"/>
    <n v="2"/>
    <n v="17980000"/>
    <n v="8"/>
    <n v="33"/>
    <d v="2024-08-12T00:00:00"/>
    <x v="0"/>
    <s v="May tinh bang"/>
    <s v="Xiaomi Pad 6"/>
  </r>
  <r>
    <s v="[DH269] "/>
    <s v=" Truong Anh Yen "/>
    <n v="989941241"/>
    <n v="8990000"/>
    <s v="1"/>
    <n v="8990000"/>
    <n v="12"/>
    <n v="52"/>
    <d v="2024-12-25T00:00:00"/>
    <x v="1"/>
    <s v="May tinh bang"/>
    <s v="Xiaomi Pad 6"/>
  </r>
  <r>
    <s v="[DH266] "/>
    <s v=" Bui Hoang Xuan "/>
    <n v="998329927"/>
    <n v="22990000"/>
    <n v="1"/>
    <n v="22990000"/>
    <n v="6"/>
    <n v="24"/>
    <d v="2024-06-12T00:00:00"/>
    <x v="0"/>
    <s v="Dien thoai"/>
    <s v="iPhone 15 Pro"/>
  </r>
  <r>
    <s v="[DH262] "/>
    <s v=" Ly Duc Phuc "/>
    <n v="920605783"/>
    <n v="9990000"/>
    <s v="2"/>
    <n v="19980000"/>
    <n v="12"/>
    <n v="53"/>
    <d v="2024-12-31T00:00:00"/>
    <x v="0"/>
    <s v="May tinh bang"/>
    <s v="Samsung Tab A9"/>
  </r>
  <r>
    <s v="[DH114] "/>
    <s v=" Ma Thi Em "/>
    <n v="940281491"/>
    <n v="2990000"/>
    <s v="4"/>
    <n v="11960000"/>
    <n v="12"/>
    <n v="52"/>
    <d v="2024-12-24T00:00:00"/>
    <x v="1"/>
    <s v="Phu kien"/>
    <s v="Galaxy Buds2 Pro"/>
  </r>
  <r>
    <s v="[DH133] "/>
    <s v=" To Thanh Quynh "/>
    <n v="916904975"/>
    <n v="12500000"/>
    <n v="2"/>
    <n v="25000000"/>
    <n v="12"/>
    <n v="51"/>
    <d v="2024-12-20T00:00:00"/>
    <x v="2"/>
    <s v="May tinh bang"/>
    <s v="iPad Gen 10"/>
  </r>
  <r>
    <s v="[DH006] "/>
    <s v=" Quach Thanh Xuan "/>
    <n v="935808537"/>
    <n v="5290000"/>
    <n v="2"/>
    <n v="10580000"/>
    <n v="12"/>
    <n v="49"/>
    <d v="2024-12-03T00:00:00"/>
    <x v="2"/>
    <s v="Phu kien"/>
    <s v="Apple Watch SE"/>
  </r>
  <r>
    <s v="[DH055] "/>
    <s v=" Duong Kim Van "/>
    <n v="969849511"/>
    <n v="15990000"/>
    <n v="2"/>
    <n v="31980000"/>
    <n v="12"/>
    <n v="52"/>
    <d v="2024-12-24T00:00:00"/>
    <x v="0"/>
    <s v="Dien thoai"/>
    <s v="Xiaomi 14"/>
  </r>
  <r>
    <s v="[DH221] "/>
    <s v=" Ngo Hong Binh "/>
    <n v="923448342"/>
    <n v="8900000"/>
    <n v="2"/>
    <n v="17800000"/>
    <n v="12"/>
    <n v="50"/>
    <d v="2024-12-11T00:00:00"/>
    <x v="2"/>
    <s v="May tinh bang"/>
    <s v="Lenovo Tab M10"/>
  </r>
  <r>
    <s v="[DH170] "/>
    <s v=" Dinh Thi Binh "/>
    <n v="942002808"/>
    <n v="8900000"/>
    <n v="2"/>
    <n v="17800000"/>
    <n v="12"/>
    <n v="51"/>
    <d v="2024-12-21T00:00:00"/>
    <x v="1"/>
    <s v="May tinh bang"/>
    <s v="Lenovo Tab M10"/>
  </r>
  <r>
    <s v="[DH205] "/>
    <s v=" Ly Van Phuc "/>
    <n v="916866268"/>
    <n v="280000"/>
    <s v="3"/>
    <n v="840000"/>
    <n v="12"/>
    <n v="51"/>
    <d v="2024-12-18T00:00:00"/>
    <x v="1"/>
    <s v="Phu kien"/>
    <s v="Sac du phong 10000mAh"/>
  </r>
  <r>
    <s v="[DH023] "/>
    <s v=" To Thanh Quynh "/>
    <n v="965177213"/>
    <n v="350000"/>
    <s v="1"/>
    <n v="350000"/>
    <n v="12"/>
    <n v="52"/>
    <d v="2024-12-28T00:00:00"/>
    <x v="0"/>
    <s v="Phu kien"/>
    <s v="Op lung Samsung"/>
  </r>
  <r>
    <s v="[DH086] "/>
    <s v=" Hoang Duc Em "/>
    <n v="919584466"/>
    <n v="22990000"/>
    <n v="2"/>
    <n v="45980000"/>
    <n v="6"/>
    <n v="24"/>
    <d v="2024-06-12T00:00:00"/>
    <x v="0"/>
    <s v="Dien thoai"/>
    <s v="iPhone 15 Pro"/>
  </r>
  <r>
    <s v="[DH182] "/>
    <s v=" Ly Anh Quynh "/>
    <n v="946850196"/>
    <n v="3990000"/>
    <s v="1"/>
    <n v="3990000"/>
    <n v="12"/>
    <n v="52"/>
    <d v="2024-12-26T00:00:00"/>
    <x v="1"/>
    <s v="Phu kien"/>
    <s v="AirPods 3"/>
  </r>
  <r>
    <s v="[DH128] "/>
    <s v=" Quach Minh Cuong "/>
    <n v="926937148"/>
    <n v="6990000"/>
    <n v="2"/>
    <n v="13980000"/>
    <n v="12"/>
    <n v="51"/>
    <d v="2024-12-20T00:00:00"/>
    <x v="0"/>
    <s v="Dien thoai"/>
    <s v="Realme 12 Pro"/>
  </r>
  <r>
    <s v="[DH056] "/>
    <s v=" Bui Hoang Tam "/>
    <n v="994120751"/>
    <n v="9990000"/>
    <s v="1"/>
    <n v="9990000"/>
    <n v="9"/>
    <n v="37"/>
    <d v="2024-09-12T00:00:00"/>
    <x v="1"/>
    <s v="Dien thoai"/>
    <s v="Vivo V29"/>
  </r>
  <r>
    <s v="[DH275] "/>
    <s v=" Tang Hoang Phuong "/>
    <n v="961100987"/>
    <n v="15990000"/>
    <n v="2"/>
    <n v="31980000"/>
    <n v="5"/>
    <n v="20"/>
    <d v="2024-05-12T00:00:00"/>
    <x v="2"/>
    <s v="Dien thoai"/>
    <s v="Xiaomi 14"/>
  </r>
  <r>
    <s v="[DH185] "/>
    <s v=" Tang Minh Uy "/>
    <n v="959251188"/>
    <n v="8990000"/>
    <n v="2"/>
    <n v="17980000"/>
    <n v="12"/>
    <n v="50"/>
    <d v="2024-12-11T00:00:00"/>
    <x v="2"/>
    <s v="May tinh bang"/>
    <s v="Xiaomi Pad 6"/>
  </r>
  <r>
    <s v="[DH279] "/>
    <s v=" Do Ngoc Minh "/>
    <n v="933842070"/>
    <n v="8990000"/>
    <s v="2"/>
    <n v="17980000"/>
    <n v="12"/>
    <n v="53"/>
    <d v="2024-12-31T00:00:00"/>
    <x v="1"/>
    <s v="May tinh bang"/>
    <s v="Xiaomi Pad 6"/>
  </r>
  <r>
    <s v="[DH215] "/>
    <s v=" Chau Hoang Phuc "/>
    <n v="952111160"/>
    <n v="15990000"/>
    <s v="2"/>
    <n v="31980000"/>
    <n v="12"/>
    <n v="51"/>
    <d v="2024-12-15T00:00:00"/>
    <x v="0"/>
    <s v="Dien thoai"/>
    <s v="Xiaomi 14"/>
  </r>
  <r>
    <s v="[DH260] "/>
    <s v=" La Hoang Quynh "/>
    <n v="911590610"/>
    <n v="12500000"/>
    <s v="2"/>
    <n v="25000000"/>
    <n v="12"/>
    <n v="51"/>
    <d v="2024-12-17T00:00:00"/>
    <x v="2"/>
    <s v="Dien thoai"/>
    <s v="iPhone 15"/>
  </r>
  <r>
    <s v="[DH274] "/>
    <s v=" Quach Thanh Phuc "/>
    <n v="911656329"/>
    <n v="12500000"/>
    <s v="1"/>
    <n v="12500000"/>
    <n v="12"/>
    <n v="50"/>
    <d v="2024-12-14T00:00:00"/>
    <x v="2"/>
    <s v="May tinh bang"/>
    <s v="iPad Gen 10"/>
  </r>
  <r>
    <s v="[DH206] "/>
    <s v=" Duong Ngoc Van "/>
    <n v="947543473"/>
    <n v="80000"/>
    <n v="1"/>
    <n v="80000"/>
    <n v="12"/>
    <n v="52"/>
    <d v="2024-12-22T00:00:00"/>
    <x v="1"/>
    <s v="Phu kien"/>
    <s v="Mieng dan man hinh"/>
  </r>
  <r>
    <s v="[DH246] "/>
    <s v=" Tang Minh Quynh "/>
    <n v="984605013"/>
    <n v="150000"/>
    <s v="4"/>
    <n v="600000"/>
    <n v="2"/>
    <n v="7"/>
    <d v="2024-02-12T00:00:00"/>
    <x v="1"/>
    <s v="Phu kien"/>
    <s v="Cap sac Type-C"/>
  </r>
  <r>
    <s v="[DH230] "/>
    <s v=" Tang Van Kien "/>
    <n v="997735896"/>
    <n v="9990000"/>
    <s v="1"/>
    <n v="9990000"/>
    <n v="12"/>
    <n v="52"/>
    <d v="2024-12-23T00:00:00"/>
    <x v="1"/>
    <s v="May tinh bang"/>
    <s v="Samsung Tab A9"/>
  </r>
  <r>
    <s v="[DH194] "/>
    <s v=" Dinh Thi Kien "/>
    <n v="936347197"/>
    <n v="3990000"/>
    <n v="3"/>
    <n v="11970000"/>
    <n v="12"/>
    <n v="53"/>
    <d v="2024-12-31T00:00:00"/>
    <x v="0"/>
    <s v="Phu kien"/>
    <s v="AirPods 3"/>
  </r>
  <r>
    <s v="[DH217] "/>
    <s v=" Dinh Hong Tam "/>
    <n v="952552488"/>
    <n v="150000"/>
    <n v="3"/>
    <n v="450000"/>
    <n v="12"/>
    <n v="50"/>
    <d v="2024-12-12T00:00:00"/>
    <x v="0"/>
    <s v="Phu kien"/>
    <s v="Cap sac Type-C"/>
  </r>
  <r>
    <s v="[DH079] "/>
    <s v=" Chau Thi An "/>
    <n v="987049595"/>
    <n v="12500000"/>
    <n v="2"/>
    <n v="25000000"/>
    <n v="12"/>
    <n v="51"/>
    <d v="2024-12-16T00:00:00"/>
    <x v="2"/>
    <s v="May tinh bang"/>
    <s v="iPad Gen 10"/>
  </r>
  <r>
    <s v="[DH130] "/>
    <s v=" Do Kim Son "/>
    <n v="940667888"/>
    <n v="8900000"/>
    <n v="2"/>
    <n v="17800000"/>
    <n v="11"/>
    <n v="46"/>
    <d v="2024-11-12T00:00:00"/>
    <x v="1"/>
    <s v="May tinh bang"/>
    <s v="Lenovo Tab M10"/>
  </r>
  <r>
    <s v="[DH124] "/>
    <s v=" Pham Van Em "/>
    <n v="911994519"/>
    <n v="9990000"/>
    <n v="2"/>
    <n v="19980000"/>
    <n v="12"/>
    <n v="52"/>
    <d v="2024-12-26T00:00:00"/>
    <x v="2"/>
    <s v="May tinh bang"/>
    <s v="Samsung Tab A9"/>
  </r>
  <r>
    <s v="[DH156] "/>
    <s v=" Quach Van Minh "/>
    <n v="918846539"/>
    <n v="18490000"/>
    <n v="2"/>
    <n v="36980000"/>
    <n v="12"/>
    <n v="49"/>
    <d v="2024-12-04T00:00:00"/>
    <x v="0"/>
    <s v="May tinh bang"/>
    <s v="iPad Air"/>
  </r>
  <r>
    <s v="[DH072] "/>
    <s v=" Vu Ngoc Giang "/>
    <n v="957623800"/>
    <n v="6990000"/>
    <s v="2"/>
    <n v="13980000"/>
    <n v="11"/>
    <n v="46"/>
    <d v="2024-11-12T00:00:00"/>
    <x v="2"/>
    <s v="Dien thoai"/>
    <s v="Realme 12 Pr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DH244] "/>
    <s v=" Tran Minh Uy "/>
    <n v="948824283"/>
    <n v="9990000"/>
    <n v="2"/>
    <n v="19980000"/>
    <n v="12"/>
    <x v="0"/>
    <d v="2024-12-27T00:00:00"/>
    <s v="Long Bien"/>
    <x v="0"/>
    <x v="0"/>
  </r>
  <r>
    <s v="[DH150] "/>
    <s v=" Quach Thanh Minh "/>
    <n v="930261159"/>
    <n v="350000"/>
    <n v="4"/>
    <n v="1400000"/>
    <n v="3"/>
    <x v="1"/>
    <d v="2024-03-12T00:00:00"/>
    <s v="Dong Da"/>
    <x v="1"/>
    <x v="1"/>
  </r>
  <r>
    <s v="[DH255] "/>
    <s v=" Tang Kim Lan "/>
    <n v="930456313"/>
    <n v="18990000"/>
    <s v="2"/>
    <n v="37980000"/>
    <n v="12"/>
    <x v="2"/>
    <d v="2024-12-11T00:00:00"/>
    <s v="Dong Da"/>
    <x v="0"/>
    <x v="2"/>
  </r>
  <r>
    <s v="[DH001] "/>
    <s v=" Pham Van Kien "/>
    <n v="942868828"/>
    <n v="9990000"/>
    <s v="1"/>
    <n v="9990000"/>
    <n v="12"/>
    <x v="3"/>
    <d v="2024-12-05T00:00:00"/>
    <s v="Long Bien"/>
    <x v="0"/>
    <x v="0"/>
  </r>
  <r>
    <s v="[DH024] "/>
    <s v=" Pham Van Phuc "/>
    <n v="955540424"/>
    <n v="18990000"/>
    <s v="1"/>
    <n v="18990000"/>
    <n v="12"/>
    <x v="2"/>
    <d v="2024-12-08T00:00:00"/>
    <s v="Dong Da"/>
    <x v="0"/>
    <x v="3"/>
  </r>
  <r>
    <s v="[DH225] "/>
    <s v=" Tran Van Lan "/>
    <n v="986230551"/>
    <n v="80000"/>
    <n v="3"/>
    <n v="240000"/>
    <n v="4"/>
    <x v="4"/>
    <d v="2024-04-12T00:00:00"/>
    <s v="Long Bien"/>
    <x v="1"/>
    <x v="4"/>
  </r>
  <r>
    <s v="[DH012] "/>
    <s v=" Duong Ngoc Cuong "/>
    <n v="916323852"/>
    <n v="18990000"/>
    <s v="1"/>
    <n v="18990000"/>
    <n v="12"/>
    <x v="3"/>
    <d v="2024-12-05T00:00:00"/>
    <s v="Cau Giay"/>
    <x v="0"/>
    <x v="3"/>
  </r>
  <r>
    <s v="[DH029] "/>
    <s v=" Tang Ngoc Uy "/>
    <n v="981286543"/>
    <n v="15990000"/>
    <n v="1"/>
    <n v="15990000"/>
    <n v="12"/>
    <x v="3"/>
    <d v="2024-12-02T00:00:00"/>
    <s v="Cau Giay"/>
    <x v="0"/>
    <x v="5"/>
  </r>
  <r>
    <s v="[DH067] "/>
    <s v=" Tang Kim Phuc "/>
    <n v="936619372"/>
    <n v="28990000"/>
    <n v="1"/>
    <n v="28990000"/>
    <n v="12"/>
    <x v="5"/>
    <d v="2024-12-19T00:00:00"/>
    <s v="Dong Da"/>
    <x v="0"/>
    <x v="6"/>
  </r>
  <r>
    <s v="[DH020] "/>
    <s v=" Pham Hong Hanh "/>
    <n v="918593410"/>
    <n v="18490000"/>
    <s v="1"/>
    <n v="18490000"/>
    <n v="12"/>
    <x v="3"/>
    <d v="2024-12-01T00:00:00"/>
    <s v="Cau Giay"/>
    <x v="2"/>
    <x v="7"/>
  </r>
  <r>
    <s v="[DH163] "/>
    <s v=" Ma Hong Van "/>
    <n v="942100652"/>
    <n v="12500000"/>
    <n v="1"/>
    <n v="12500000"/>
    <n v="12"/>
    <x v="6"/>
    <d v="2024-12-31T00:00:00"/>
    <s v="Long Bien"/>
    <x v="2"/>
    <x v="8"/>
  </r>
  <r>
    <s v="[DH135] "/>
    <s v=" Ngo Kim Van "/>
    <n v="993446356"/>
    <n v="80000"/>
    <n v="5"/>
    <n v="400000"/>
    <n v="12"/>
    <x v="0"/>
    <d v="2024-12-22T00:00:00"/>
    <s v="Long Bien"/>
    <x v="1"/>
    <x v="4"/>
  </r>
  <r>
    <s v="[DH026] "/>
    <s v=" Nguyen Thi Hanh "/>
    <n v="932321899"/>
    <n v="8900000"/>
    <n v="1"/>
    <n v="8900000"/>
    <n v="12"/>
    <x v="5"/>
    <d v="2024-12-16T00:00:00"/>
    <s v="Cau Giay"/>
    <x v="2"/>
    <x v="9"/>
  </r>
  <r>
    <s v="[DH141] "/>
    <s v=" Tang Ngoc Uy "/>
    <n v="999541016"/>
    <n v="12500000"/>
    <s v="2"/>
    <n v="25000000"/>
    <n v="12"/>
    <x v="3"/>
    <d v="2024-12-02T00:00:00"/>
    <s v="Cau Giay"/>
    <x v="2"/>
    <x v="8"/>
  </r>
  <r>
    <s v="[DH149] "/>
    <s v=" Le Minh Tam "/>
    <n v="972270726"/>
    <n v="190000"/>
    <s v="4"/>
    <n v="760000"/>
    <n v="12"/>
    <x v="5"/>
    <d v="2024-12-19T00:00:00"/>
    <s v="Long Bien"/>
    <x v="1"/>
    <x v="10"/>
  </r>
  <r>
    <s v="[DH003] "/>
    <s v=" Do Hoang Quynh "/>
    <n v="939587039"/>
    <n v="350000"/>
    <n v="1"/>
    <n v="350000"/>
    <n v="12"/>
    <x v="5"/>
    <d v="2024-12-19T00:00:00"/>
    <s v="Dong Da"/>
    <x v="1"/>
    <x v="1"/>
  </r>
  <r>
    <s v="[DH087] "/>
    <s v=" Dinh Kim Kien "/>
    <n v="977172238"/>
    <n v="450000"/>
    <s v="1"/>
    <n v="450000"/>
    <n v="12"/>
    <x v="5"/>
    <d v="2024-12-16T00:00:00"/>
    <s v="Dong Da"/>
    <x v="1"/>
    <x v="11"/>
  </r>
  <r>
    <s v="[DH103] "/>
    <s v=" La Van Yen "/>
    <n v="919183277"/>
    <n v="9990000"/>
    <n v="2"/>
    <n v="19980000"/>
    <n v="12"/>
    <x v="5"/>
    <d v="2024-12-21T00:00:00"/>
    <s v="Dong Da"/>
    <x v="0"/>
    <x v="0"/>
  </r>
  <r>
    <s v="[DH097] "/>
    <s v=" Truong Hoang Kien "/>
    <n v="910344303"/>
    <n v="12500000"/>
    <n v="2"/>
    <n v="25000000"/>
    <n v="12"/>
    <x v="0"/>
    <d v="2024-12-24T00:00:00"/>
    <s v="Dong Da"/>
    <x v="2"/>
    <x v="8"/>
  </r>
  <r>
    <s v="[DH120] "/>
    <s v=" Ma Hong Ngoc "/>
    <n v="923335151"/>
    <n v="2990000"/>
    <n v="3"/>
    <n v="8970000"/>
    <n v="12"/>
    <x v="2"/>
    <d v="2024-12-12T00:00:00"/>
    <s v="Cau Giay"/>
    <x v="1"/>
    <x v="12"/>
  </r>
  <r>
    <s v="[DH159] "/>
    <s v=" Duong Thi Quynh "/>
    <n v="978248169"/>
    <n v="9990000"/>
    <n v="2"/>
    <n v="19980000"/>
    <n v="1"/>
    <x v="7"/>
    <d v="2024-01-12T00:00:00"/>
    <s v="Dong Da"/>
    <x v="2"/>
    <x v="13"/>
  </r>
  <r>
    <s v="[DH035] "/>
    <s v=" Bui Thi Dung "/>
    <n v="984252420"/>
    <n v="25990000"/>
    <s v="1"/>
    <n v="25990000"/>
    <n v="9"/>
    <x v="8"/>
    <d v="2024-09-12T00:00:00"/>
    <s v="Long Bien"/>
    <x v="0"/>
    <x v="14"/>
  </r>
  <r>
    <s v="[DH115] "/>
    <s v=" Nguyen Duc Van "/>
    <n v="926587799"/>
    <n v="350000"/>
    <s v="3"/>
    <n v="1050000"/>
    <n v="12"/>
    <x v="2"/>
    <d v="2024-12-12T00:00:00"/>
    <s v="Long Bien"/>
    <x v="1"/>
    <x v="1"/>
  </r>
  <r>
    <s v="[DH210] "/>
    <s v=" La Ngoc Xuan "/>
    <n v="950237208"/>
    <n v="150000"/>
    <n v="3"/>
    <n v="450000"/>
    <n v="12"/>
    <x v="0"/>
    <d v="2024-12-27T00:00:00"/>
    <s v="Dong Da"/>
    <x v="1"/>
    <x v="15"/>
  </r>
  <r>
    <s v="[DH258] "/>
    <s v=" Tran Van Quynh "/>
    <n v="928453800"/>
    <n v="3990000"/>
    <n v="2"/>
    <n v="7980000"/>
    <n v="12"/>
    <x v="2"/>
    <d v="2024-12-08T00:00:00"/>
    <s v="Dong Da"/>
    <x v="1"/>
    <x v="16"/>
  </r>
  <r>
    <s v="[DH095] "/>
    <s v=" Ma Thi Em "/>
    <n v="976890827"/>
    <n v="5290000"/>
    <n v="3"/>
    <n v="15870000"/>
    <n v="12"/>
    <x v="2"/>
    <d v="2024-12-10T00:00:00"/>
    <s v="Dong Da"/>
    <x v="1"/>
    <x v="17"/>
  </r>
  <r>
    <s v="[DH123] "/>
    <s v=" Truong Minh Yen "/>
    <n v="910380581"/>
    <n v="6990000"/>
    <s v="1"/>
    <n v="6990000"/>
    <n v="12"/>
    <x v="0"/>
    <d v="2024-12-28T00:00:00"/>
    <s v="Cau Giay"/>
    <x v="0"/>
    <x v="18"/>
  </r>
  <r>
    <s v="[DH196] "/>
    <s v=" Quach Thanh Xuan "/>
    <n v="915529005"/>
    <n v="12500000"/>
    <s v="2"/>
    <n v="25000000"/>
    <n v="12"/>
    <x v="3"/>
    <d v="2024-12-03T00:00:00"/>
    <s v="Long Bien"/>
    <x v="0"/>
    <x v="19"/>
  </r>
  <r>
    <s v="[DH199] "/>
    <s v=" Truong Anh Em "/>
    <n v="951954112"/>
    <n v="5290000"/>
    <n v="3"/>
    <n v="15870000"/>
    <n v="12"/>
    <x v="2"/>
    <d v="2024-12-11T00:00:00"/>
    <s v="Dong Da"/>
    <x v="1"/>
    <x v="17"/>
  </r>
  <r>
    <s v="[DH132] "/>
    <s v=" To Thi Ngoc "/>
    <n v="927463800"/>
    <n v="450000"/>
    <s v="5"/>
    <n v="2250000"/>
    <n v="12"/>
    <x v="3"/>
    <d v="2024-12-02T00:00:00"/>
    <s v="Cau Giay"/>
    <x v="1"/>
    <x v="11"/>
  </r>
  <r>
    <s v="[DH093] "/>
    <s v=" Ma Van Giang "/>
    <n v="945843681"/>
    <n v="450000"/>
    <s v="4"/>
    <n v="1800000"/>
    <n v="5"/>
    <x v="9"/>
    <d v="2024-05-12T00:00:00"/>
    <s v="Cau Giay"/>
    <x v="1"/>
    <x v="11"/>
  </r>
  <r>
    <s v="[DH010] "/>
    <s v=" Tang Thanh Giang "/>
    <n v="997971488"/>
    <n v="150000"/>
    <n v="4"/>
    <n v="600000"/>
    <n v="12"/>
    <x v="2"/>
    <d v="2024-12-13T00:00:00"/>
    <s v="Cau Giay"/>
    <x v="1"/>
    <x v="15"/>
  </r>
  <r>
    <s v="[DH172] "/>
    <s v=" Ly Hong Xuan "/>
    <n v="965910756"/>
    <n v="15990000"/>
    <s v="1"/>
    <n v="15990000"/>
    <n v="12"/>
    <x v="0"/>
    <d v="2024-12-22T00:00:00"/>
    <s v="Cau Giay"/>
    <x v="0"/>
    <x v="5"/>
  </r>
  <r>
    <s v="[DH049] "/>
    <s v=" Tang Anh Minh "/>
    <n v="972409658"/>
    <n v="350000"/>
    <s v="2"/>
    <n v="700000"/>
    <n v="12"/>
    <x v="5"/>
    <d v="2024-12-15T00:00:00"/>
    <s v="Long Bien"/>
    <x v="1"/>
    <x v="1"/>
  </r>
  <r>
    <s v="[DH121] "/>
    <s v=" Pham Ngoc Cuong "/>
    <n v="998955314"/>
    <n v="18990000"/>
    <n v="1"/>
    <n v="18990000"/>
    <n v="12"/>
    <x v="5"/>
    <d v="2024-12-21T00:00:00"/>
    <s v="Cau Giay"/>
    <x v="0"/>
    <x v="2"/>
  </r>
  <r>
    <s v="[DH042] "/>
    <s v=" Ly Duc Hanh "/>
    <n v="939920292"/>
    <n v="12500000"/>
    <n v="2"/>
    <n v="25000000"/>
    <n v="12"/>
    <x v="0"/>
    <d v="2024-12-22T00:00:00"/>
    <s v="Cau Giay"/>
    <x v="0"/>
    <x v="19"/>
  </r>
  <r>
    <s v="[DH280] "/>
    <s v=" Tang Hong Minh "/>
    <n v="960473288"/>
    <n v="6990000"/>
    <n v="2"/>
    <n v="13980000"/>
    <n v="12"/>
    <x v="0"/>
    <d v="2024-12-27T00:00:00"/>
    <s v="Cau Giay"/>
    <x v="0"/>
    <x v="18"/>
  </r>
  <r>
    <s v="[DH161] "/>
    <s v=" Duong Van Minh "/>
    <n v="992950779"/>
    <n v="25990000"/>
    <n v="1"/>
    <n v="25990000"/>
    <n v="12"/>
    <x v="5"/>
    <d v="2024-12-20T00:00:00"/>
    <s v="Long Bien"/>
    <x v="0"/>
    <x v="14"/>
  </r>
  <r>
    <s v="[DH061] "/>
    <s v=" Cao Minh Son "/>
    <n v="927129912"/>
    <n v="80000"/>
    <s v="4"/>
    <n v="320000"/>
    <n v="12"/>
    <x v="5"/>
    <d v="2024-12-18T00:00:00"/>
    <s v="Cau Giay"/>
    <x v="1"/>
    <x v="4"/>
  </r>
  <r>
    <s v="[DH007] "/>
    <s v=" Pham Kim Kien "/>
    <n v="970855700"/>
    <n v="3990000"/>
    <n v="2"/>
    <n v="7980000"/>
    <n v="12"/>
    <x v="0"/>
    <d v="2024-12-27T00:00:00"/>
    <s v="Long Bien"/>
    <x v="1"/>
    <x v="16"/>
  </r>
  <r>
    <s v="[DH033] "/>
    <s v=" Bui Minh Ngoc "/>
    <n v="919233013"/>
    <n v="9990000"/>
    <n v="1"/>
    <n v="9990000"/>
    <n v="12"/>
    <x v="2"/>
    <d v="2024-12-12T00:00:00"/>
    <s v="Long Bien"/>
    <x v="0"/>
    <x v="0"/>
  </r>
  <r>
    <s v="[DH005] "/>
    <s v=" Bui Van Son "/>
    <n v="981971316"/>
    <n v="18990000"/>
    <s v="1"/>
    <n v="18990000"/>
    <n v="12"/>
    <x v="6"/>
    <d v="2024-12-30T00:00:00"/>
    <s v="Long Bien"/>
    <x v="0"/>
    <x v="3"/>
  </r>
  <r>
    <s v="[DH234] "/>
    <s v=" Tran Hoang Uy "/>
    <n v="937133023"/>
    <n v="280000"/>
    <n v="2"/>
    <n v="560000"/>
    <n v="12"/>
    <x v="5"/>
    <d v="2024-12-18T00:00:00"/>
    <s v="Dong Da"/>
    <x v="1"/>
    <x v="20"/>
  </r>
  <r>
    <s v="[DH046] "/>
    <s v=" La Hong Ngoc "/>
    <n v="967887757"/>
    <n v="28990000"/>
    <s v="2"/>
    <n v="57980000"/>
    <n v="12"/>
    <x v="6"/>
    <d v="2024-12-31T00:00:00"/>
    <s v="Cau Giay"/>
    <x v="0"/>
    <x v="6"/>
  </r>
  <r>
    <s v="[DH050] "/>
    <s v=" Vu Thi Lan "/>
    <n v="979182797"/>
    <n v="2990000"/>
    <n v="3"/>
    <n v="8970000"/>
    <n v="12"/>
    <x v="5"/>
    <d v="2024-12-21T00:00:00"/>
    <s v="Cau Giay"/>
    <x v="1"/>
    <x v="12"/>
  </r>
  <r>
    <s v="[DH021] "/>
    <s v=" Tran Hong Cuong "/>
    <n v="914216175"/>
    <n v="18490000"/>
    <n v="1"/>
    <n v="18490000"/>
    <n v="12"/>
    <x v="3"/>
    <d v="2024-12-03T00:00:00"/>
    <s v="Cau Giay"/>
    <x v="2"/>
    <x v="7"/>
  </r>
  <r>
    <s v="[DH140] "/>
    <s v=" Ma Kim Kien "/>
    <n v="938933176"/>
    <n v="190000"/>
    <n v="3"/>
    <n v="570000"/>
    <n v="12"/>
    <x v="5"/>
    <d v="2024-12-17T00:00:00"/>
    <s v="Long Bien"/>
    <x v="1"/>
    <x v="10"/>
  </r>
  <r>
    <s v="[DH038] "/>
    <s v=" Hoang Hoang Binh "/>
    <n v="959555330"/>
    <n v="280000"/>
    <n v="4"/>
    <n v="1120000"/>
    <n v="12"/>
    <x v="5"/>
    <d v="2024-12-18T00:00:00"/>
    <s v="Dong Da"/>
    <x v="1"/>
    <x v="20"/>
  </r>
  <r>
    <s v="[DH075] "/>
    <s v=" La Hoang Ngoc "/>
    <n v="967110154"/>
    <n v="250000"/>
    <s v="3"/>
    <n v="750000"/>
    <n v="12"/>
    <x v="5"/>
    <d v="2024-12-18T00:00:00"/>
    <s v="Dong Da"/>
    <x v="1"/>
    <x v="21"/>
  </r>
  <r>
    <s v="[DH268] "/>
    <s v=" Cao Minh Cuong "/>
    <n v="977215278"/>
    <n v="250000"/>
    <n v="1"/>
    <n v="250000"/>
    <n v="12"/>
    <x v="2"/>
    <d v="2024-12-12T00:00:00"/>
    <s v="Cau Giay"/>
    <x v="1"/>
    <x v="21"/>
  </r>
  <r>
    <s v="[DH278] "/>
    <s v=" Quach Kim Minh "/>
    <n v="969085720"/>
    <n v="18490000"/>
    <n v="1"/>
    <n v="18490000"/>
    <n v="12"/>
    <x v="2"/>
    <d v="2024-12-14T00:00:00"/>
    <s v="Long Bien"/>
    <x v="2"/>
    <x v="7"/>
  </r>
  <r>
    <s v="[DH277] "/>
    <s v=" Chau Anh Yen "/>
    <n v="936246038"/>
    <n v="350000"/>
    <n v="3"/>
    <n v="1050000"/>
    <n v="12"/>
    <x v="3"/>
    <d v="2024-12-04T00:00:00"/>
    <s v="Dong Da"/>
    <x v="1"/>
    <x v="1"/>
  </r>
  <r>
    <s v="[DH147] "/>
    <s v=" Truong Hong Minh "/>
    <n v="932566390"/>
    <n v="28990000"/>
    <s v="1"/>
    <n v="28990000"/>
    <n v="12"/>
    <x v="5"/>
    <d v="2024-12-17T00:00:00"/>
    <s v="Dong Da"/>
    <x v="0"/>
    <x v="6"/>
  </r>
  <r>
    <s v="[DH127] "/>
    <s v=" Tran Ngoc Phuc "/>
    <n v="967213476"/>
    <n v="2990000"/>
    <n v="4"/>
    <n v="11960000"/>
    <n v="4"/>
    <x v="4"/>
    <d v="2024-04-12T00:00:00"/>
    <s v="Dong Da"/>
    <x v="1"/>
    <x v="12"/>
  </r>
  <r>
    <s v="[DH052] "/>
    <s v=" Ma Kim Xuan "/>
    <n v="936096655"/>
    <n v="5290000"/>
    <n v="4"/>
    <n v="21160000"/>
    <n v="12"/>
    <x v="0"/>
    <d v="2024-12-23T00:00:00"/>
    <s v="Long Bien"/>
    <x v="1"/>
    <x v="17"/>
  </r>
  <r>
    <s v="[DH259] "/>
    <s v=" Ly Van Yen "/>
    <n v="995594482"/>
    <n v="2990000"/>
    <s v="4"/>
    <n v="11960000"/>
    <n v="12"/>
    <x v="6"/>
    <d v="2024-12-30T00:00:00"/>
    <s v="Cau Giay"/>
    <x v="1"/>
    <x v="12"/>
  </r>
  <r>
    <s v="[DH051] "/>
    <s v=" Dinh Hong Giang "/>
    <n v="929777514"/>
    <n v="12500000"/>
    <s v="2"/>
    <n v="25000000"/>
    <n v="12"/>
    <x v="3"/>
    <d v="2024-12-02T00:00:00"/>
    <s v="Cau Giay"/>
    <x v="0"/>
    <x v="19"/>
  </r>
  <r>
    <s v="[DH165] "/>
    <s v=" Bui Van Tam "/>
    <n v="959823245"/>
    <n v="450000"/>
    <n v="5"/>
    <n v="2250000"/>
    <n v="12"/>
    <x v="6"/>
    <d v="2024-12-30T00:00:00"/>
    <s v="Cau Giay"/>
    <x v="1"/>
    <x v="11"/>
  </r>
  <r>
    <s v="[DH175] "/>
    <s v=" Hoang Van Ngoc "/>
    <n v="983284724"/>
    <n v="18490000"/>
    <s v="1"/>
    <n v="18490000"/>
    <n v="12"/>
    <x v="0"/>
    <d v="2024-12-27T00:00:00"/>
    <s v="Long Bien"/>
    <x v="2"/>
    <x v="7"/>
  </r>
  <r>
    <s v="[DH009] "/>
    <s v=" La Hong Minh "/>
    <n v="917507864"/>
    <n v="9990000"/>
    <n v="2"/>
    <n v="19980000"/>
    <n v="12"/>
    <x v="0"/>
    <d v="2024-12-27T00:00:00"/>
    <s v="Cau Giay"/>
    <x v="0"/>
    <x v="0"/>
  </r>
  <r>
    <s v="[DH040] "/>
    <s v=" Hoang Hong Phuong "/>
    <n v="933763566"/>
    <n v="8900000"/>
    <n v="2"/>
    <n v="17800000"/>
    <n v="12"/>
    <x v="3"/>
    <d v="2024-12-01T00:00:00"/>
    <s v="Long Bien"/>
    <x v="2"/>
    <x v="9"/>
  </r>
  <r>
    <s v="[DH254] "/>
    <s v=" Truong Kim Binh "/>
    <n v="985500790"/>
    <n v="9990000"/>
    <n v="1"/>
    <n v="9990000"/>
    <n v="12"/>
    <x v="0"/>
    <d v="2024-12-24T00:00:00"/>
    <s v="Long Bien"/>
    <x v="0"/>
    <x v="0"/>
  </r>
  <r>
    <s v="[DH047] "/>
    <s v=" Dinh Hoang Lan "/>
    <n v="999508850"/>
    <n v="8900000"/>
    <s v="2"/>
    <n v="17800000"/>
    <n v="11"/>
    <x v="10"/>
    <d v="2024-11-12T00:00:00"/>
    <s v="Dong Da"/>
    <x v="2"/>
    <x v="9"/>
  </r>
  <r>
    <s v="[DH112] "/>
    <s v=" Tang Thanh Em "/>
    <n v="922097496"/>
    <n v="12500000"/>
    <n v="2"/>
    <n v="25000000"/>
    <n v="12"/>
    <x v="2"/>
    <d v="2024-12-11T00:00:00"/>
    <s v="Long Bien"/>
    <x v="2"/>
    <x v="8"/>
  </r>
  <r>
    <s v="[DH180] "/>
    <s v=" To Thi Quynh "/>
    <n v="990859912"/>
    <n v="15990000"/>
    <n v="2"/>
    <n v="31980000"/>
    <n v="12"/>
    <x v="5"/>
    <d v="2024-12-18T00:00:00"/>
    <s v="Long Bien"/>
    <x v="0"/>
    <x v="5"/>
  </r>
  <r>
    <s v="[DH044] "/>
    <s v=" Vu Anh Kien "/>
    <n v="915134794"/>
    <n v="18990000"/>
    <s v="2"/>
    <n v="37980000"/>
    <n v="12"/>
    <x v="5"/>
    <d v="2024-12-20T00:00:00"/>
    <s v="Dong Da"/>
    <x v="0"/>
    <x v="3"/>
  </r>
  <r>
    <s v="[DH016] "/>
    <s v=" Hoang Thanh Phuong "/>
    <n v="982394227"/>
    <n v="190000"/>
    <s v="1"/>
    <n v="190000"/>
    <n v="12"/>
    <x v="6"/>
    <d v="2024-12-30T00:00:00"/>
    <s v="Cau Giay"/>
    <x v="1"/>
    <x v="10"/>
  </r>
  <r>
    <s v="[DH145] "/>
    <s v=" To Duc Dung "/>
    <n v="964362516"/>
    <n v="12500000"/>
    <s v="1"/>
    <n v="12500000"/>
    <n v="12"/>
    <x v="6"/>
    <d v="2024-12-31T00:00:00"/>
    <s v="Long Bien"/>
    <x v="0"/>
    <x v="19"/>
  </r>
  <r>
    <s v="[DH227] "/>
    <s v=" Bui Minh An "/>
    <n v="955246430"/>
    <n v="12500000"/>
    <n v="1"/>
    <n v="12500000"/>
    <n v="12"/>
    <x v="5"/>
    <d v="2024-12-19T00:00:00"/>
    <s v="Long Bien"/>
    <x v="2"/>
    <x v="8"/>
  </r>
  <r>
    <s v="[DH137] "/>
    <s v=" Tang Kim Cuong "/>
    <n v="929042093"/>
    <n v="250000"/>
    <s v="1"/>
    <n v="250000"/>
    <n v="12"/>
    <x v="5"/>
    <d v="2024-12-21T00:00:00"/>
    <s v="Dong Da"/>
    <x v="1"/>
    <x v="21"/>
  </r>
  <r>
    <s v="[DH034] "/>
    <s v=" Dinh Anh Uy "/>
    <n v="911049999"/>
    <n v="2990000"/>
    <s v="3"/>
    <n v="8970000"/>
    <n v="12"/>
    <x v="0"/>
    <d v="2024-12-27T00:00:00"/>
    <s v="Cau Giay"/>
    <x v="1"/>
    <x v="12"/>
  </r>
  <r>
    <s v="[DH058] "/>
    <s v=" Le Kim Quynh "/>
    <n v="954410148"/>
    <n v="450000"/>
    <n v="1"/>
    <n v="450000"/>
    <n v="12"/>
    <x v="5"/>
    <d v="2024-12-15T00:00:00"/>
    <s v="Dong Da"/>
    <x v="1"/>
    <x v="11"/>
  </r>
  <r>
    <s v="[DH226] "/>
    <s v=" Duong Ngoc Em "/>
    <n v="977674279"/>
    <n v="350000"/>
    <n v="1"/>
    <n v="350000"/>
    <n v="12"/>
    <x v="2"/>
    <d v="2024-12-09T00:00:00"/>
    <s v="Dong Da"/>
    <x v="1"/>
    <x v="1"/>
  </r>
  <r>
    <s v="[DH039] "/>
    <s v=" Tran Thanh Giang "/>
    <n v="943491314"/>
    <n v="2990000"/>
    <n v="5"/>
    <n v="14950000"/>
    <n v="4"/>
    <x v="4"/>
    <d v="2024-04-12T00:00:00"/>
    <s v="Long Bien"/>
    <x v="1"/>
    <x v="12"/>
  </r>
  <r>
    <s v="[DH032] "/>
    <s v=" Dinh Ngoc Minh "/>
    <n v="919736572"/>
    <n v="12500000"/>
    <n v="1"/>
    <n v="12500000"/>
    <n v="12"/>
    <x v="5"/>
    <d v="2024-12-15T00:00:00"/>
    <s v="Long Bien"/>
    <x v="0"/>
    <x v="19"/>
  </r>
  <r>
    <s v="[DH129] "/>
    <s v=" Dinh Ngoc Uy "/>
    <n v="991259008"/>
    <n v="8900000"/>
    <s v="1"/>
    <n v="8900000"/>
    <n v="12"/>
    <x v="3"/>
    <d v="2024-12-04T00:00:00"/>
    <s v="Long Bien"/>
    <x v="2"/>
    <x v="9"/>
  </r>
  <r>
    <s v="[DH186] "/>
    <s v=" Vu Ngoc Uy "/>
    <n v="961940566"/>
    <n v="450000"/>
    <s v="3"/>
    <n v="1350000"/>
    <n v="4"/>
    <x v="4"/>
    <d v="2024-04-12T00:00:00"/>
    <s v="Long Bien"/>
    <x v="1"/>
    <x v="11"/>
  </r>
  <r>
    <s v="[DH219] "/>
    <s v=" Le Thanh Son "/>
    <n v="998043078"/>
    <n v="6990000"/>
    <n v="1"/>
    <n v="6990000"/>
    <n v="12"/>
    <x v="0"/>
    <d v="2024-12-24T00:00:00"/>
    <s v="Dong Da"/>
    <x v="0"/>
    <x v="18"/>
  </r>
  <r>
    <s v="[DH083] "/>
    <s v=" Quach Thi Giang "/>
    <n v="993955206"/>
    <n v="18990000"/>
    <n v="1"/>
    <n v="18990000"/>
    <n v="12"/>
    <x v="2"/>
    <d v="2024-12-09T00:00:00"/>
    <s v="Long Bien"/>
    <x v="0"/>
    <x v="2"/>
  </r>
  <r>
    <s v="[DH002] "/>
    <s v=" Le Anh Quynh "/>
    <n v="914265799"/>
    <n v="12500000"/>
    <s v="1"/>
    <n v="12500000"/>
    <n v="12"/>
    <x v="3"/>
    <d v="2024-12-03T00:00:00"/>
    <s v="Long Bien"/>
    <x v="0"/>
    <x v="19"/>
  </r>
  <r>
    <s v="[DH223] "/>
    <s v=" Truong Duc Binh "/>
    <n v="922007214"/>
    <n v="3990000"/>
    <s v="5"/>
    <n v="19950000"/>
    <n v="12"/>
    <x v="5"/>
    <d v="2024-12-19T00:00:00"/>
    <s v="Cau Giay"/>
    <x v="1"/>
    <x v="16"/>
  </r>
  <r>
    <s v="[DH209] "/>
    <s v=" Truong Anh Minh "/>
    <n v="931810655"/>
    <n v="8990000"/>
    <s v="2"/>
    <n v="17980000"/>
    <n v="12"/>
    <x v="5"/>
    <d v="2024-12-20T00:00:00"/>
    <s v="Long Bien"/>
    <x v="2"/>
    <x v="22"/>
  </r>
  <r>
    <s v="[DH183] "/>
    <s v=" Duong Minh An "/>
    <n v="929163535"/>
    <n v="80000"/>
    <n v="1"/>
    <n v="80000"/>
    <n v="12"/>
    <x v="0"/>
    <d v="2024-12-22T00:00:00"/>
    <s v="Long Bien"/>
    <x v="1"/>
    <x v="4"/>
  </r>
  <r>
    <s v="[DH070] "/>
    <s v=" Duong Duc Yen "/>
    <n v="982232344"/>
    <n v="190000"/>
    <s v="4"/>
    <n v="760000"/>
    <n v="12"/>
    <x v="5"/>
    <d v="2024-12-16T00:00:00"/>
    <s v="Dong Da"/>
    <x v="1"/>
    <x v="10"/>
  </r>
  <r>
    <s v="[DH154] "/>
    <s v=" Ma Thi Minh "/>
    <n v="921318464"/>
    <n v="890000"/>
    <n v="1"/>
    <n v="890000"/>
    <n v="12"/>
    <x v="5"/>
    <d v="2024-12-21T00:00:00"/>
    <s v="Dong Da"/>
    <x v="1"/>
    <x v="23"/>
  </r>
  <r>
    <s v="[DH089] "/>
    <s v=" Tran Minh Tam "/>
    <n v="979654147"/>
    <n v="3990000"/>
    <s v="2"/>
    <n v="7980000"/>
    <n v="12"/>
    <x v="5"/>
    <d v="2024-12-15T00:00:00"/>
    <s v="Dong Da"/>
    <x v="1"/>
    <x v="16"/>
  </r>
  <r>
    <s v="[DH239] "/>
    <s v=" Ma Kim Phuc "/>
    <n v="920770971"/>
    <n v="2990000"/>
    <n v="5"/>
    <n v="14950000"/>
    <n v="12"/>
    <x v="6"/>
    <d v="2024-12-31T00:00:00"/>
    <s v="Dong Da"/>
    <x v="1"/>
    <x v="12"/>
  </r>
  <r>
    <s v="[DH015] "/>
    <s v=" Bui Hoang Phuong "/>
    <n v="978139880"/>
    <n v="18990000"/>
    <s v="2"/>
    <n v="37980000"/>
    <n v="12"/>
    <x v="0"/>
    <d v="2024-12-28T00:00:00"/>
    <s v="Cau Giay"/>
    <x v="0"/>
    <x v="3"/>
  </r>
  <r>
    <s v="[DH066] "/>
    <s v=" Vu Anh Yen "/>
    <n v="925372341"/>
    <n v="190000"/>
    <n v="3"/>
    <n v="570000"/>
    <n v="12"/>
    <x v="0"/>
    <d v="2024-12-27T00:00:00"/>
    <s v="Dong Da"/>
    <x v="1"/>
    <x v="10"/>
  </r>
  <r>
    <s v="[DH071] "/>
    <s v=" Ngo Thi Kien "/>
    <n v="970505620"/>
    <n v="9990000"/>
    <n v="2"/>
    <n v="19980000"/>
    <n v="12"/>
    <x v="0"/>
    <d v="2024-12-25T00:00:00"/>
    <s v="Dong Da"/>
    <x v="0"/>
    <x v="0"/>
  </r>
  <r>
    <s v="[DH242] "/>
    <s v=" Do Thi Binh "/>
    <n v="998610233"/>
    <n v="8900000"/>
    <n v="1"/>
    <n v="8900000"/>
    <n v="12"/>
    <x v="5"/>
    <d v="2024-12-20T00:00:00"/>
    <s v="Long Bien"/>
    <x v="2"/>
    <x v="9"/>
  </r>
  <r>
    <s v="[DH106] "/>
    <s v=" Cao Anh Hanh "/>
    <n v="976795767"/>
    <n v="280000"/>
    <s v="4"/>
    <n v="1120000"/>
    <n v="12"/>
    <x v="3"/>
    <d v="2024-12-05T00:00:00"/>
    <s v="Dong Da"/>
    <x v="1"/>
    <x v="20"/>
  </r>
  <r>
    <s v="[DH059] "/>
    <s v=" Tang Van Xuan "/>
    <n v="961053877"/>
    <n v="150000"/>
    <n v="3"/>
    <n v="450000"/>
    <n v="1"/>
    <x v="7"/>
    <d v="2024-01-12T00:00:00"/>
    <s v="Dong Da"/>
    <x v="1"/>
    <x v="15"/>
  </r>
  <r>
    <s v="[DH198] "/>
    <s v=" Cao Duc Son "/>
    <n v="919794273"/>
    <n v="5290000"/>
    <n v="4"/>
    <n v="21160000"/>
    <n v="12"/>
    <x v="3"/>
    <d v="2024-12-02T00:00:00"/>
    <s v="Cau Giay"/>
    <x v="1"/>
    <x v="17"/>
  </r>
  <r>
    <s v="[DH146] "/>
    <s v=" Ly Thi Quynh "/>
    <n v="924208709"/>
    <n v="9990000"/>
    <s v="2"/>
    <n v="19980000"/>
    <n v="12"/>
    <x v="2"/>
    <d v="2024-12-14T00:00:00"/>
    <s v="Dong Da"/>
    <x v="0"/>
    <x v="0"/>
  </r>
  <r>
    <s v="[DH069] "/>
    <s v=" Nguyen Kim Tam "/>
    <n v="924165187"/>
    <n v="8900000"/>
    <s v="2"/>
    <n v="17800000"/>
    <n v="12"/>
    <x v="6"/>
    <d v="2024-12-31T00:00:00"/>
    <s v="Cau Giay"/>
    <x v="2"/>
    <x v="9"/>
  </r>
  <r>
    <s v="[DH204] "/>
    <s v=" Chau Duc Van "/>
    <n v="911097552"/>
    <n v="18990000"/>
    <s v="2"/>
    <n v="37980000"/>
    <n v="12"/>
    <x v="2"/>
    <d v="2024-12-14T00:00:00"/>
    <s v="Dong Da"/>
    <x v="0"/>
    <x v="3"/>
  </r>
  <r>
    <s v="[DH249] "/>
    <s v=" Truong Thi Son "/>
    <n v="959805178"/>
    <n v="28990000"/>
    <n v="1"/>
    <n v="28990000"/>
    <n v="12"/>
    <x v="5"/>
    <d v="2024-12-18T00:00:00"/>
    <s v="Long Bien"/>
    <x v="0"/>
    <x v="6"/>
  </r>
  <r>
    <s v="[DH019] "/>
    <s v=" To Hong Van "/>
    <n v="936998038"/>
    <n v="5290000"/>
    <n v="3"/>
    <n v="15870000"/>
    <n v="10"/>
    <x v="11"/>
    <d v="2024-10-12T00:00:00"/>
    <s v="Dong Da"/>
    <x v="1"/>
    <x v="17"/>
  </r>
  <r>
    <s v="[DH098] "/>
    <s v=" Ly Thanh Van "/>
    <n v="982937948"/>
    <n v="8990000"/>
    <s v="1"/>
    <n v="8990000"/>
    <n v="12"/>
    <x v="5"/>
    <d v="2024-12-15T00:00:00"/>
    <s v="Dong Da"/>
    <x v="2"/>
    <x v="22"/>
  </r>
  <r>
    <s v="[DH197] "/>
    <s v=" To Anh An "/>
    <n v="976845536"/>
    <n v="3990000"/>
    <n v="3"/>
    <n v="11970000"/>
    <n v="12"/>
    <x v="5"/>
    <d v="2024-12-18T00:00:00"/>
    <s v="Long Bien"/>
    <x v="1"/>
    <x v="16"/>
  </r>
  <r>
    <s v="[DH004] "/>
    <s v=" Bui Minh Giang "/>
    <n v="955176955"/>
    <n v="18990000"/>
    <n v="1"/>
    <n v="18990000"/>
    <n v="3"/>
    <x v="1"/>
    <d v="2024-03-12T00:00:00"/>
    <s v="Long Bien"/>
    <x v="0"/>
    <x v="3"/>
  </r>
  <r>
    <s v="[DH073] "/>
    <s v=" Le Hong Quynh "/>
    <n v="975575808"/>
    <n v="450000"/>
    <s v="4"/>
    <n v="1800000"/>
    <n v="12"/>
    <x v="0"/>
    <d v="2024-12-25T00:00:00"/>
    <s v="Dong Da"/>
    <x v="1"/>
    <x v="11"/>
  </r>
  <r>
    <s v="[DH011] "/>
    <s v=" La Hoang Kien "/>
    <n v="988461803"/>
    <n v="8900000"/>
    <n v="2"/>
    <n v="17800000"/>
    <n v="12"/>
    <x v="6"/>
    <d v="2024-12-29T00:00:00"/>
    <s v="Cau Giay"/>
    <x v="2"/>
    <x v="9"/>
  </r>
  <r>
    <s v="[DH155] "/>
    <s v=" Duong Hoang Yen "/>
    <n v="931306555"/>
    <n v="9990000"/>
    <n v="2"/>
    <n v="19980000"/>
    <n v="12"/>
    <x v="2"/>
    <d v="2024-12-12T00:00:00"/>
    <s v="Long Bien"/>
    <x v="2"/>
    <x v="13"/>
  </r>
  <r>
    <s v="[DH267] "/>
    <s v=" Cao Thi Lan "/>
    <n v="931803703"/>
    <n v="280000"/>
    <s v="4"/>
    <n v="1120000"/>
    <n v="12"/>
    <x v="2"/>
    <d v="2024-12-08T00:00:00"/>
    <s v="Dong Da"/>
    <x v="1"/>
    <x v="20"/>
  </r>
  <r>
    <s v="[DH057] "/>
    <s v=" Truong Thanh Van "/>
    <n v="920814950"/>
    <n v="25990000"/>
    <s v="2"/>
    <n v="51980000"/>
    <n v="12"/>
    <x v="3"/>
    <d v="2024-12-05T00:00:00"/>
    <s v="Cau Giay"/>
    <x v="0"/>
    <x v="14"/>
  </r>
  <r>
    <s v="[DH143] "/>
    <s v=" Hoang Kim Van "/>
    <n v="940884937"/>
    <n v="890000"/>
    <n v="3"/>
    <n v="2670000"/>
    <n v="12"/>
    <x v="5"/>
    <d v="2024-12-18T00:00:00"/>
    <s v="Long Bien"/>
    <x v="1"/>
    <x v="23"/>
  </r>
  <r>
    <s v="[DH160] "/>
    <s v=" Chau Hong Hanh "/>
    <n v="928463709"/>
    <n v="25990000"/>
    <s v="1"/>
    <n v="25990000"/>
    <n v="3"/>
    <x v="1"/>
    <d v="2024-03-12T00:00:00"/>
    <s v="Long Bien"/>
    <x v="0"/>
    <x v="14"/>
  </r>
  <r>
    <s v="[DH256] "/>
    <s v=" La Thanh Kien "/>
    <n v="975581613"/>
    <n v="250000"/>
    <n v="4"/>
    <n v="1000000"/>
    <n v="12"/>
    <x v="5"/>
    <d v="2024-12-21T00:00:00"/>
    <s v="Dong Da"/>
    <x v="1"/>
    <x v="21"/>
  </r>
  <r>
    <s v="[DH232] "/>
    <s v=" Hoang Ngoc Em "/>
    <n v="971066203"/>
    <n v="250000"/>
    <s v="4"/>
    <n v="1000000"/>
    <n v="12"/>
    <x v="5"/>
    <d v="2024-12-20T00:00:00"/>
    <s v="Dong Da"/>
    <x v="1"/>
    <x v="21"/>
  </r>
  <r>
    <s v="[DH030] "/>
    <s v=" Ngo Kim Dung "/>
    <n v="986460539"/>
    <n v="9990000"/>
    <s v="1"/>
    <n v="9990000"/>
    <n v="12"/>
    <x v="5"/>
    <d v="2024-12-19T00:00:00"/>
    <s v="Long Bien"/>
    <x v="0"/>
    <x v="0"/>
  </r>
  <r>
    <s v="[DH233] "/>
    <s v=" La Hong Hanh "/>
    <n v="989968863"/>
    <n v="28990000"/>
    <n v="2"/>
    <n v="57980000"/>
    <n v="12"/>
    <x v="5"/>
    <d v="2024-12-17T00:00:00"/>
    <s v="Cau Giay"/>
    <x v="0"/>
    <x v="6"/>
  </r>
  <r>
    <s v="[DH064] "/>
    <s v=" Ly Hong Cuong "/>
    <n v="997477029"/>
    <n v="22990000"/>
    <n v="1"/>
    <n v="22990000"/>
    <n v="12"/>
    <x v="0"/>
    <d v="2024-12-25T00:00:00"/>
    <s v="Long Bien"/>
    <x v="0"/>
    <x v="24"/>
  </r>
  <r>
    <s v="[DH176] "/>
    <s v=" Chau Minh Em "/>
    <n v="918469210"/>
    <n v="5290000"/>
    <n v="1"/>
    <n v="5290000"/>
    <n v="12"/>
    <x v="0"/>
    <d v="2024-12-25T00:00:00"/>
    <s v="Cau Giay"/>
    <x v="1"/>
    <x v="17"/>
  </r>
  <r>
    <s v="[DH065] "/>
    <s v=" Hoang Hong Em "/>
    <n v="973560289"/>
    <n v="2990000"/>
    <n v="2"/>
    <n v="5980000"/>
    <n v="12"/>
    <x v="3"/>
    <d v="2024-12-04T00:00:00"/>
    <s v="Dong Da"/>
    <x v="1"/>
    <x v="12"/>
  </r>
  <r>
    <s v="[DH184] "/>
    <s v=" Ly Thanh Phuc "/>
    <n v="986134287"/>
    <n v="22990000"/>
    <n v="2"/>
    <n v="45980000"/>
    <n v="12"/>
    <x v="5"/>
    <d v="2024-12-20T00:00:00"/>
    <s v="Cau Giay"/>
    <x v="0"/>
    <x v="24"/>
  </r>
  <r>
    <s v="[DH105] "/>
    <s v=" Ly Thanh Quynh "/>
    <n v="929538047"/>
    <n v="9990000"/>
    <n v="1"/>
    <n v="9990000"/>
    <n v="12"/>
    <x v="5"/>
    <d v="2024-12-17T00:00:00"/>
    <s v="Long Bien"/>
    <x v="0"/>
    <x v="0"/>
  </r>
  <r>
    <s v="[DH235] "/>
    <s v=" Pham Hong Xuan "/>
    <n v="975609379"/>
    <n v="28990000"/>
    <n v="2"/>
    <n v="57980000"/>
    <n v="12"/>
    <x v="6"/>
    <d v="2024-12-29T00:00:00"/>
    <s v="Long Bien"/>
    <x v="0"/>
    <x v="6"/>
  </r>
  <r>
    <s v="[DH265] "/>
    <s v=" Duong Van Hanh "/>
    <n v="938375916"/>
    <n v="5290000"/>
    <n v="4"/>
    <n v="21160000"/>
    <n v="12"/>
    <x v="6"/>
    <d v="2024-12-29T00:00:00"/>
    <s v="Cau Giay"/>
    <x v="1"/>
    <x v="17"/>
  </r>
  <r>
    <s v="[DH214] "/>
    <s v=" To Hoang Yen "/>
    <n v="973297813"/>
    <n v="250000"/>
    <s v="2"/>
    <n v="500000"/>
    <n v="12"/>
    <x v="0"/>
    <d v="2024-12-24T00:00:00"/>
    <s v="Dong Da"/>
    <x v="1"/>
    <x v="21"/>
  </r>
  <r>
    <s v="[DH188] "/>
    <s v=" Le Thanh Ngoc "/>
    <n v="918715975"/>
    <n v="450000"/>
    <n v="3"/>
    <n v="1350000"/>
    <n v="12"/>
    <x v="5"/>
    <d v="2024-12-18T00:00:00"/>
    <s v="Long Bien"/>
    <x v="1"/>
    <x v="11"/>
  </r>
  <r>
    <s v="[DH253] "/>
    <s v=" Dinh Duc Ngoc "/>
    <n v="978829070"/>
    <n v="150000"/>
    <n v="4"/>
    <n v="600000"/>
    <n v="12"/>
    <x v="5"/>
    <d v="2024-12-15T00:00:00"/>
    <s v="Dong Da"/>
    <x v="1"/>
    <x v="15"/>
  </r>
  <r>
    <s v="[DH092] "/>
    <s v=" Duong Van Van "/>
    <n v="972005415"/>
    <n v="8900000"/>
    <s v="2"/>
    <n v="17800000"/>
    <n v="12"/>
    <x v="3"/>
    <d v="2024-12-02T00:00:00"/>
    <s v="Long Bien"/>
    <x v="2"/>
    <x v="9"/>
  </r>
  <r>
    <s v="[DH014] "/>
    <s v=" La Duc Minh "/>
    <n v="924972279"/>
    <n v="12500000"/>
    <n v="2"/>
    <n v="25000000"/>
    <n v="12"/>
    <x v="2"/>
    <d v="2024-12-14T00:00:00"/>
    <s v="Long Bien"/>
    <x v="2"/>
    <x v="8"/>
  </r>
  <r>
    <s v="[DH264] "/>
    <s v=" Chau Van An "/>
    <n v="933002714"/>
    <n v="28990000"/>
    <s v="2"/>
    <n v="57980000"/>
    <n v="12"/>
    <x v="5"/>
    <d v="2024-12-16T00:00:00"/>
    <s v="Cau Giay"/>
    <x v="0"/>
    <x v="6"/>
  </r>
  <r>
    <s v="[DH167] "/>
    <s v=" Tran Kim Uy "/>
    <n v="960192261"/>
    <n v="9990000"/>
    <n v="2"/>
    <n v="19980000"/>
    <n v="12"/>
    <x v="2"/>
    <d v="2024-12-13T00:00:00"/>
    <s v="Cau Giay"/>
    <x v="0"/>
    <x v="0"/>
  </r>
  <r>
    <s v="[DH139] "/>
    <s v=" Hoang Minh Yen "/>
    <n v="916679008"/>
    <n v="2990000"/>
    <s v="4"/>
    <n v="11960000"/>
    <n v="3"/>
    <x v="1"/>
    <d v="2024-03-12T00:00:00"/>
    <s v="Long Bien"/>
    <x v="1"/>
    <x v="12"/>
  </r>
  <r>
    <s v="[DH211] "/>
    <s v=" Tang Duc An "/>
    <n v="990115852"/>
    <n v="150000"/>
    <s v="5"/>
    <n v="750000"/>
    <n v="12"/>
    <x v="2"/>
    <d v="2024-12-09T00:00:00"/>
    <s v="Cau Giay"/>
    <x v="1"/>
    <x v="15"/>
  </r>
  <r>
    <s v="[DH074] "/>
    <s v=" Nguyen Thi Lan "/>
    <n v="939742165"/>
    <n v="8990000"/>
    <s v="2"/>
    <n v="17980000"/>
    <n v="12"/>
    <x v="0"/>
    <d v="2024-12-23T00:00:00"/>
    <s v="Dong Da"/>
    <x v="2"/>
    <x v="22"/>
  </r>
  <r>
    <s v="[DH171] "/>
    <s v=" Quach Hoang An "/>
    <n v="994819556"/>
    <n v="890000"/>
    <n v="2"/>
    <n v="1780000"/>
    <n v="12"/>
    <x v="5"/>
    <d v="2024-12-19T00:00:00"/>
    <s v="Long Bien"/>
    <x v="1"/>
    <x v="23"/>
  </r>
  <r>
    <s v="[DH216] "/>
    <s v=" Bui Anh Tam "/>
    <n v="935805259"/>
    <n v="9990000"/>
    <n v="2"/>
    <n v="19980000"/>
    <n v="12"/>
    <x v="2"/>
    <d v="2024-12-09T00:00:00"/>
    <s v="Dong Da"/>
    <x v="0"/>
    <x v="0"/>
  </r>
  <r>
    <s v="[DH045] "/>
    <s v=" Quach Hoang Dung "/>
    <n v="961700055"/>
    <n v="280000"/>
    <s v="1"/>
    <n v="280000"/>
    <n v="7"/>
    <x v="12"/>
    <d v="2024-07-12T00:00:00"/>
    <s v="Long Bien"/>
    <x v="1"/>
    <x v="20"/>
  </r>
  <r>
    <s v="[DH125] "/>
    <s v=" Hoang Kim Uy "/>
    <n v="925253751"/>
    <n v="250000"/>
    <n v="4"/>
    <n v="1000000"/>
    <n v="3"/>
    <x v="1"/>
    <d v="2024-03-12T00:00:00"/>
    <s v="Cau Giay"/>
    <x v="1"/>
    <x v="21"/>
  </r>
  <r>
    <s v="[DH178] "/>
    <s v=" Do Duc Ngoc "/>
    <n v="916416148"/>
    <n v="3990000"/>
    <n v="1"/>
    <n v="3990000"/>
    <n v="11"/>
    <x v="10"/>
    <d v="2024-11-12T00:00:00"/>
    <s v="Dong Da"/>
    <x v="1"/>
    <x v="16"/>
  </r>
  <r>
    <s v="[DH109] "/>
    <s v=" Tang Duc Lan "/>
    <n v="912944682"/>
    <n v="2990000"/>
    <s v="1"/>
    <n v="2990000"/>
    <n v="12"/>
    <x v="2"/>
    <d v="2024-12-13T00:00:00"/>
    <s v="Long Bien"/>
    <x v="1"/>
    <x v="12"/>
  </r>
  <r>
    <s v="[DH099] "/>
    <s v=" Ngo Kim Binh "/>
    <n v="952704903"/>
    <n v="250000"/>
    <n v="4"/>
    <n v="1000000"/>
    <n v="12"/>
    <x v="5"/>
    <d v="2024-12-16T00:00:00"/>
    <s v="Long Bien"/>
    <x v="1"/>
    <x v="21"/>
  </r>
  <r>
    <s v="[DH036] "/>
    <s v=" Bui Hoang Tam "/>
    <n v="943704923"/>
    <n v="22990000"/>
    <n v="2"/>
    <n v="45980000"/>
    <n v="12"/>
    <x v="3"/>
    <d v="2024-12-03T00:00:00"/>
    <s v="Dong Da"/>
    <x v="0"/>
    <x v="24"/>
  </r>
  <r>
    <s v="[DH108] "/>
    <s v=" Bui Ngoc Lan "/>
    <n v="936738452"/>
    <n v="8990000"/>
    <n v="1"/>
    <n v="8990000"/>
    <n v="12"/>
    <x v="0"/>
    <d v="2024-12-28T00:00:00"/>
    <s v="Dong Da"/>
    <x v="2"/>
    <x v="22"/>
  </r>
  <r>
    <s v="[DH220] "/>
    <s v=" La Duc Em "/>
    <n v="924660143"/>
    <n v="80000"/>
    <n v="2"/>
    <n v="160000"/>
    <n v="12"/>
    <x v="0"/>
    <d v="2024-12-24T00:00:00"/>
    <s v="Long Bien"/>
    <x v="1"/>
    <x v="4"/>
  </r>
  <r>
    <s v="[DH131] "/>
    <s v=" To Thanh Kien "/>
    <n v="960237832"/>
    <n v="25990000"/>
    <n v="1"/>
    <n v="25990000"/>
    <n v="12"/>
    <x v="0"/>
    <d v="2024-12-22T00:00:00"/>
    <s v="Cau Giay"/>
    <x v="0"/>
    <x v="14"/>
  </r>
  <r>
    <s v="[DH096] "/>
    <s v=" Ngo Ngoc Van "/>
    <n v="929413516"/>
    <n v="8990000"/>
    <n v="1"/>
    <n v="8990000"/>
    <n v="12"/>
    <x v="3"/>
    <d v="2024-12-07T00:00:00"/>
    <s v="Dong Da"/>
    <x v="2"/>
    <x v="22"/>
  </r>
  <r>
    <s v="[DH203] "/>
    <s v=" Duong Ngoc Hanh "/>
    <n v="938876195"/>
    <n v="280000"/>
    <n v="1"/>
    <n v="280000"/>
    <n v="12"/>
    <x v="2"/>
    <d v="2024-12-12T00:00:00"/>
    <s v="Long Bien"/>
    <x v="1"/>
    <x v="20"/>
  </r>
  <r>
    <s v="[DH062] "/>
    <s v=" Le Kim Em "/>
    <n v="971968116"/>
    <n v="15990000"/>
    <n v="2"/>
    <n v="31980000"/>
    <n v="2"/>
    <x v="13"/>
    <d v="2024-02-12T00:00:00"/>
    <s v="Dong Da"/>
    <x v="0"/>
    <x v="5"/>
  </r>
  <r>
    <s v="[DH031] "/>
    <s v=" Tang Anh Uy "/>
    <n v="952462441"/>
    <n v="6990000"/>
    <n v="2"/>
    <n v="13980000"/>
    <n v="12"/>
    <x v="3"/>
    <d v="2024-12-07T00:00:00"/>
    <s v="Cau Giay"/>
    <x v="0"/>
    <x v="18"/>
  </r>
  <r>
    <s v="[DH168] "/>
    <s v=" Truong Minh Em "/>
    <n v="915140967"/>
    <n v="12500000"/>
    <s v="1"/>
    <n v="12500000"/>
    <n v="12"/>
    <x v="6"/>
    <d v="2024-12-30T00:00:00"/>
    <s v="Long Bien"/>
    <x v="2"/>
    <x v="8"/>
  </r>
  <r>
    <s v="[DH251] "/>
    <s v=" Dinh Van Giang "/>
    <n v="935504548"/>
    <n v="250000"/>
    <n v="4"/>
    <n v="1000000"/>
    <n v="12"/>
    <x v="3"/>
    <d v="2024-12-04T00:00:00"/>
    <s v="Long Bien"/>
    <x v="1"/>
    <x v="21"/>
  </r>
  <r>
    <s v="[DH191] "/>
    <s v=" Chau Hoang Quynh "/>
    <n v="964953237"/>
    <n v="280000"/>
    <s v="3"/>
    <n v="840000"/>
    <n v="12"/>
    <x v="3"/>
    <d v="2024-12-03T00:00:00"/>
    <s v="Dong Da"/>
    <x v="1"/>
    <x v="20"/>
  </r>
  <r>
    <s v="[DH228] "/>
    <s v=" Cao Kim Uy "/>
    <n v="954013571"/>
    <n v="28990000"/>
    <n v="1"/>
    <n v="28990000"/>
    <n v="12"/>
    <x v="2"/>
    <d v="2024-12-13T00:00:00"/>
    <s v="Dong Da"/>
    <x v="0"/>
    <x v="6"/>
  </r>
  <r>
    <s v="[DH212] "/>
    <s v=" Tang Ngoc Phuong "/>
    <n v="980361272"/>
    <n v="3990000"/>
    <n v="4"/>
    <n v="15960000"/>
    <n v="12"/>
    <x v="0"/>
    <d v="2024-12-24T00:00:00"/>
    <s v="Cau Giay"/>
    <x v="1"/>
    <x v="16"/>
  </r>
  <r>
    <s v="[DH222] "/>
    <s v=" Nguyen Hoang Phuong "/>
    <n v="964614193"/>
    <n v="3990000"/>
    <s v="4"/>
    <n v="15960000"/>
    <n v="12"/>
    <x v="6"/>
    <d v="2024-12-30T00:00:00"/>
    <s v="Dong Da"/>
    <x v="1"/>
    <x v="16"/>
  </r>
  <r>
    <s v="[DH091] "/>
    <s v=" Chau Duc Phuc "/>
    <n v="983832717"/>
    <n v="22990000"/>
    <n v="2"/>
    <n v="45980000"/>
    <n v="12"/>
    <x v="5"/>
    <d v="2024-12-15T00:00:00"/>
    <s v="Dong Da"/>
    <x v="0"/>
    <x v="24"/>
  </r>
  <r>
    <s v="[DH237] "/>
    <s v=" Nguyen Hong Xuan "/>
    <n v="919801857"/>
    <n v="22990000"/>
    <s v="1"/>
    <n v="22990000"/>
    <n v="12"/>
    <x v="2"/>
    <d v="2024-12-14T00:00:00"/>
    <s v="Cau Giay"/>
    <x v="0"/>
    <x v="24"/>
  </r>
  <r>
    <s v="[DH173] "/>
    <s v=" Duong Hoang Uy "/>
    <n v="978131950"/>
    <n v="450000"/>
    <n v="4"/>
    <n v="1800000"/>
    <n v="1"/>
    <x v="7"/>
    <d v="2024-01-12T00:00:00"/>
    <s v="Dong Da"/>
    <x v="1"/>
    <x v="11"/>
  </r>
  <r>
    <s v="[DH151] "/>
    <s v=" Tang Van Ngoc "/>
    <n v="978093604"/>
    <n v="28990000"/>
    <n v="2"/>
    <n v="57980000"/>
    <n v="10"/>
    <x v="11"/>
    <d v="2024-10-12T00:00:00"/>
    <s v="Dong Da"/>
    <x v="0"/>
    <x v="6"/>
  </r>
  <r>
    <s v="[DH101] "/>
    <s v=" Pham Hoang Son "/>
    <n v="912059919"/>
    <n v="250000"/>
    <n v="2"/>
    <n v="500000"/>
    <n v="5"/>
    <x v="9"/>
    <d v="2024-05-12T00:00:00"/>
    <s v="Dong Da"/>
    <x v="1"/>
    <x v="21"/>
  </r>
  <r>
    <s v="[DH157] "/>
    <s v=" Quach Minh Minh "/>
    <n v="920939011"/>
    <n v="280000"/>
    <n v="3"/>
    <n v="840000"/>
    <n v="12"/>
    <x v="0"/>
    <d v="2024-12-22T00:00:00"/>
    <s v="Long Bien"/>
    <x v="1"/>
    <x v="20"/>
  </r>
  <r>
    <s v="[DH195] "/>
    <s v=" La Thi Uy "/>
    <n v="996031876"/>
    <n v="15990000"/>
    <n v="1"/>
    <n v="15990000"/>
    <n v="12"/>
    <x v="5"/>
    <d v="2024-12-19T00:00:00"/>
    <s v="Long Bien"/>
    <x v="0"/>
    <x v="5"/>
  </r>
  <r>
    <s v="[DH153] "/>
    <s v=" Tran Ngoc Xuan "/>
    <n v="997488142"/>
    <n v="18990000"/>
    <s v="2"/>
    <n v="37980000"/>
    <n v="12"/>
    <x v="2"/>
    <d v="2024-12-11T00:00:00"/>
    <s v="Cau Giay"/>
    <x v="0"/>
    <x v="2"/>
  </r>
  <r>
    <s v="[DH081] "/>
    <s v=" Dinh Thi Hanh "/>
    <n v="925898299"/>
    <n v="450000"/>
    <s v="5"/>
    <n v="2250000"/>
    <n v="12"/>
    <x v="0"/>
    <d v="2024-12-25T00:00:00"/>
    <s v="Cau Giay"/>
    <x v="1"/>
    <x v="11"/>
  </r>
  <r>
    <s v="[DH200] "/>
    <s v=" Duong Hoang Dung "/>
    <n v="952831009"/>
    <n v="9990000"/>
    <n v="2"/>
    <n v="19980000"/>
    <n v="12"/>
    <x v="5"/>
    <d v="2024-12-15T00:00:00"/>
    <s v="Cau Giay"/>
    <x v="0"/>
    <x v="0"/>
  </r>
  <r>
    <s v="[DH136] "/>
    <s v=" Bui Van Phuong "/>
    <n v="946677730"/>
    <n v="5290000"/>
    <n v="3"/>
    <n v="15870000"/>
    <n v="12"/>
    <x v="0"/>
    <d v="2024-12-25T00:00:00"/>
    <s v="Cau Giay"/>
    <x v="1"/>
    <x v="17"/>
  </r>
  <r>
    <s v="[DH126] "/>
    <s v=" Ma Hoang Hanh "/>
    <n v="992558242"/>
    <n v="22990000"/>
    <n v="2"/>
    <n v="45980000"/>
    <n v="12"/>
    <x v="0"/>
    <d v="2024-12-24T00:00:00"/>
    <s v="Cau Giay"/>
    <x v="0"/>
    <x v="24"/>
  </r>
  <r>
    <s v="[DH068] "/>
    <s v=" Quach Thi Xuan "/>
    <n v="915512205"/>
    <n v="9990000"/>
    <n v="2"/>
    <n v="19980000"/>
    <n v="12"/>
    <x v="5"/>
    <d v="2024-12-18T00:00:00"/>
    <s v="Dong Da"/>
    <x v="2"/>
    <x v="13"/>
  </r>
  <r>
    <s v="[DH224] "/>
    <s v=" Vu Kim Phuong "/>
    <n v="914877451"/>
    <n v="8990000"/>
    <s v="1"/>
    <n v="8990000"/>
    <n v="12"/>
    <x v="0"/>
    <d v="2024-12-26T00:00:00"/>
    <s v="Dong Da"/>
    <x v="2"/>
    <x v="22"/>
  </r>
  <r>
    <s v="[DH118] "/>
    <s v=" La Minh Phuc "/>
    <n v="970887034"/>
    <n v="9990000"/>
    <s v="2"/>
    <n v="19980000"/>
    <n v="12"/>
    <x v="0"/>
    <d v="2024-12-22T00:00:00"/>
    <s v="Cau Giay"/>
    <x v="2"/>
    <x v="13"/>
  </r>
  <r>
    <s v="[DH193] "/>
    <s v=" Pham Hoang Em "/>
    <n v="950818905"/>
    <n v="15990000"/>
    <n v="1"/>
    <n v="15990000"/>
    <n v="6"/>
    <x v="14"/>
    <d v="2024-06-12T00:00:00"/>
    <s v="Long Bien"/>
    <x v="0"/>
    <x v="5"/>
  </r>
  <r>
    <s v="[DH084] "/>
    <s v=" Le Minh An "/>
    <n v="964830300"/>
    <n v="350000"/>
    <n v="4"/>
    <n v="1400000"/>
    <n v="12"/>
    <x v="0"/>
    <d v="2024-12-23T00:00:00"/>
    <s v="Dong Da"/>
    <x v="1"/>
    <x v="1"/>
  </r>
  <r>
    <s v="[DH094] "/>
    <s v=" Quach Hong Phuong "/>
    <n v="951708177"/>
    <n v="450000"/>
    <n v="4"/>
    <n v="1800000"/>
    <n v="12"/>
    <x v="3"/>
    <d v="2024-12-01T00:00:00"/>
    <s v="Cau Giay"/>
    <x v="1"/>
    <x v="11"/>
  </r>
  <r>
    <s v="[DH261] "/>
    <s v=" Duong Kim Phuong "/>
    <n v="924363501"/>
    <n v="18990000"/>
    <n v="1"/>
    <n v="18990000"/>
    <n v="12"/>
    <x v="5"/>
    <d v="2024-12-17T00:00:00"/>
    <s v="Dong Da"/>
    <x v="0"/>
    <x v="3"/>
  </r>
  <r>
    <s v="[DH138] "/>
    <s v=" To Ngoc Minh "/>
    <n v="931127115"/>
    <n v="9990000"/>
    <s v="2"/>
    <n v="19980000"/>
    <n v="12"/>
    <x v="2"/>
    <d v="2024-12-10T00:00:00"/>
    <s v="Cau Giay"/>
    <x v="2"/>
    <x v="13"/>
  </r>
  <r>
    <s v="[DH027] "/>
    <s v=" Cao Van Phuc "/>
    <n v="945594951"/>
    <n v="350000"/>
    <s v="5"/>
    <n v="1750000"/>
    <n v="10"/>
    <x v="11"/>
    <d v="2024-10-12T00:00:00"/>
    <s v="Cau Giay"/>
    <x v="1"/>
    <x v="1"/>
  </r>
  <r>
    <s v="[DH148] "/>
    <s v=" Ly Minh Hanh "/>
    <n v="923798190"/>
    <n v="25990000"/>
    <s v="1"/>
    <n v="25990000"/>
    <n v="12"/>
    <x v="2"/>
    <d v="2024-12-09T00:00:00"/>
    <s v="Long Bien"/>
    <x v="0"/>
    <x v="14"/>
  </r>
  <r>
    <s v="[DH017] "/>
    <s v=" Pham Thanh Lan "/>
    <n v="942138745"/>
    <n v="22990000"/>
    <n v="1"/>
    <n v="22990000"/>
    <n v="12"/>
    <x v="2"/>
    <d v="2024-12-08T00:00:00"/>
    <s v="Cau Giay"/>
    <x v="0"/>
    <x v="24"/>
  </r>
  <r>
    <s v="[DH252] "/>
    <s v=" Do Kim Hanh "/>
    <n v="984098828"/>
    <n v="18490000"/>
    <n v="2"/>
    <n v="36980000"/>
    <n v="12"/>
    <x v="0"/>
    <d v="2024-12-25T00:00:00"/>
    <s v="Dong Da"/>
    <x v="2"/>
    <x v="7"/>
  </r>
  <r>
    <s v="[DH240] "/>
    <s v=" Pham Minh Van "/>
    <n v="962755436"/>
    <n v="890000"/>
    <n v="2"/>
    <n v="1780000"/>
    <n v="12"/>
    <x v="3"/>
    <d v="2024-12-05T00:00:00"/>
    <s v="Dong Da"/>
    <x v="1"/>
    <x v="23"/>
  </r>
  <r>
    <s v="[DH273] "/>
    <s v=" Ma Hoang Van "/>
    <n v="978778646"/>
    <n v="8900000"/>
    <n v="1"/>
    <n v="8900000"/>
    <n v="12"/>
    <x v="3"/>
    <d v="2024-12-04T00:00:00"/>
    <s v="Long Bien"/>
    <x v="2"/>
    <x v="9"/>
  </r>
  <r>
    <s v="[DH181] "/>
    <s v=" Dinh Duc Son "/>
    <n v="990882505"/>
    <n v="5290000"/>
    <n v="4"/>
    <n v="21160000"/>
    <n v="12"/>
    <x v="2"/>
    <d v="2024-12-14T00:00:00"/>
    <s v="Long Bien"/>
    <x v="1"/>
    <x v="17"/>
  </r>
  <r>
    <s v="[DH100] "/>
    <s v=" Hoang Ngoc Binh "/>
    <n v="926944487"/>
    <n v="890000"/>
    <n v="3"/>
    <n v="2670000"/>
    <n v="12"/>
    <x v="6"/>
    <d v="2024-12-31T00:00:00"/>
    <s v="Dong Da"/>
    <x v="1"/>
    <x v="23"/>
  </r>
  <r>
    <s v="[DH207] "/>
    <s v=" Ly Thanh Van "/>
    <n v="959070856"/>
    <n v="190000"/>
    <s v="5"/>
    <n v="950000"/>
    <n v="12"/>
    <x v="3"/>
    <d v="2024-12-05T00:00:00"/>
    <s v="Cau Giay"/>
    <x v="1"/>
    <x v="10"/>
  </r>
  <r>
    <s v="[DH152] "/>
    <s v=" Le Thi Yen "/>
    <n v="989736043"/>
    <n v="890000"/>
    <s v="5"/>
    <n v="4450000"/>
    <n v="12"/>
    <x v="2"/>
    <d v="2024-12-13T00:00:00"/>
    <s v="Long Bien"/>
    <x v="1"/>
    <x v="23"/>
  </r>
  <r>
    <s v="[DH231] "/>
    <s v=" Vu Kim Uy "/>
    <n v="951738753"/>
    <n v="5290000"/>
    <n v="3"/>
    <n v="15870000"/>
    <n v="12"/>
    <x v="3"/>
    <d v="2024-12-04T00:00:00"/>
    <s v="Cau Giay"/>
    <x v="1"/>
    <x v="17"/>
  </r>
  <r>
    <s v="[DH271] "/>
    <s v=" Ngo Thi Cuong "/>
    <n v="945966597"/>
    <n v="25990000"/>
    <s v="1"/>
    <n v="25990000"/>
    <n v="12"/>
    <x v="2"/>
    <d v="2024-12-13T00:00:00"/>
    <s v="Dong Da"/>
    <x v="0"/>
    <x v="14"/>
  </r>
  <r>
    <s v="[DH158] "/>
    <s v=" Cao Minh Yen "/>
    <n v="921370793"/>
    <n v="12500000"/>
    <n v="2"/>
    <n v="25000000"/>
    <n v="12"/>
    <x v="5"/>
    <d v="2024-12-18T00:00:00"/>
    <s v="Long Bien"/>
    <x v="2"/>
    <x v="8"/>
  </r>
  <r>
    <s v="[DH189] "/>
    <s v=" Vu Thanh Uy "/>
    <n v="940097200"/>
    <n v="18990000"/>
    <n v="1"/>
    <n v="18990000"/>
    <n v="12"/>
    <x v="3"/>
    <d v="2024-12-07T00:00:00"/>
    <s v="Long Bien"/>
    <x v="0"/>
    <x v="3"/>
  </r>
  <r>
    <s v="[DH008] "/>
    <s v=" Bui Thi Yen "/>
    <n v="995225343"/>
    <n v="15990000"/>
    <n v="1"/>
    <n v="15990000"/>
    <n v="12"/>
    <x v="5"/>
    <d v="2024-12-18T00:00:00"/>
    <s v="Dong Da"/>
    <x v="0"/>
    <x v="5"/>
  </r>
  <r>
    <s v="[DH102] "/>
    <s v=" Truong Anh Phuc "/>
    <n v="997219599"/>
    <n v="28990000"/>
    <n v="2"/>
    <n v="57980000"/>
    <n v="12"/>
    <x v="0"/>
    <d v="2024-12-28T00:00:00"/>
    <s v="Dong Da"/>
    <x v="0"/>
    <x v="6"/>
  </r>
  <r>
    <s v="[DH111] "/>
    <s v=" Quach Duc Em "/>
    <n v="994322033"/>
    <n v="18990000"/>
    <n v="1"/>
    <n v="18990000"/>
    <n v="12"/>
    <x v="6"/>
    <d v="2024-12-29T00:00:00"/>
    <s v="Cau Giay"/>
    <x v="0"/>
    <x v="3"/>
  </r>
  <r>
    <s v="[DH169] "/>
    <s v=" Nguyen Thi An "/>
    <n v="944349528"/>
    <n v="18990000"/>
    <n v="2"/>
    <n v="37980000"/>
    <n v="12"/>
    <x v="0"/>
    <d v="2024-12-27T00:00:00"/>
    <s v="Cau Giay"/>
    <x v="0"/>
    <x v="2"/>
  </r>
  <r>
    <s v="[DH164] "/>
    <s v=" Ma Ngoc Lan "/>
    <n v="961254050"/>
    <n v="890000"/>
    <n v="2"/>
    <n v="1780000"/>
    <n v="12"/>
    <x v="5"/>
    <d v="2024-12-17T00:00:00"/>
    <s v="Cau Giay"/>
    <x v="1"/>
    <x v="23"/>
  </r>
  <r>
    <s v="[DH202] "/>
    <s v=" Vu Ngoc Uy "/>
    <n v="972654864"/>
    <n v="150000"/>
    <n v="4"/>
    <n v="600000"/>
    <n v="12"/>
    <x v="6"/>
    <d v="2024-12-29T00:00:00"/>
    <s v="Dong Da"/>
    <x v="1"/>
    <x v="15"/>
  </r>
  <r>
    <s v="[DH048] "/>
    <s v=" Cao Minh Yen "/>
    <n v="986384014"/>
    <n v="12500000"/>
    <n v="1"/>
    <n v="12500000"/>
    <n v="12"/>
    <x v="2"/>
    <d v="2024-12-13T00:00:00"/>
    <s v="Dong Da"/>
    <x v="2"/>
    <x v="8"/>
  </r>
  <r>
    <s v="[DH162] "/>
    <s v=" Quach Minh Son "/>
    <n v="915864298"/>
    <n v="8900000"/>
    <n v="1"/>
    <n v="8900000"/>
    <n v="12"/>
    <x v="2"/>
    <d v="2024-12-12T00:00:00"/>
    <s v="Long Bien"/>
    <x v="2"/>
    <x v="9"/>
  </r>
  <r>
    <s v="[DH104] "/>
    <s v=" Pham Thi Son "/>
    <n v="932329103"/>
    <n v="5290000"/>
    <n v="1"/>
    <n v="5290000"/>
    <n v="12"/>
    <x v="2"/>
    <d v="2024-12-10T00:00:00"/>
    <s v="Dong Da"/>
    <x v="1"/>
    <x v="17"/>
  </r>
  <r>
    <s v="[DH060] "/>
    <s v=" La Hoang Yen "/>
    <n v="939600202"/>
    <n v="150000"/>
    <n v="4"/>
    <n v="600000"/>
    <n v="8"/>
    <x v="15"/>
    <d v="2024-08-12T00:00:00"/>
    <s v="Dong Da"/>
    <x v="1"/>
    <x v="15"/>
  </r>
  <r>
    <s v="[DH119] "/>
    <s v=" To Thi Tam "/>
    <n v="992631441"/>
    <n v="8900000"/>
    <s v="1"/>
    <n v="8900000"/>
    <n v="12"/>
    <x v="6"/>
    <d v="2024-12-31T00:00:00"/>
    <s v="Dong Da"/>
    <x v="2"/>
    <x v="9"/>
  </r>
  <r>
    <s v="[DH110] "/>
    <s v=" Tran Anh Tam "/>
    <n v="948412328"/>
    <n v="190000"/>
    <n v="5"/>
    <n v="950000"/>
    <n v="12"/>
    <x v="0"/>
    <d v="2024-12-26T00:00:00"/>
    <s v="Cau Giay"/>
    <x v="1"/>
    <x v="10"/>
  </r>
  <r>
    <s v="[DH144] "/>
    <s v=" Tran Kim An "/>
    <n v="971707170"/>
    <n v="28990000"/>
    <s v="2"/>
    <n v="57980000"/>
    <n v="12"/>
    <x v="0"/>
    <d v="2024-12-28T00:00:00"/>
    <s v="Long Bien"/>
    <x v="0"/>
    <x v="6"/>
  </r>
  <r>
    <s v="[DH085] "/>
    <s v=" Dinh Ngoc Cuong "/>
    <n v="941329612"/>
    <n v="6990000"/>
    <n v="1"/>
    <n v="6990000"/>
    <n v="12"/>
    <x v="0"/>
    <d v="2024-12-26T00:00:00"/>
    <s v="Cau Giay"/>
    <x v="0"/>
    <x v="18"/>
  </r>
  <r>
    <s v="[DH041] "/>
    <s v=" Ngo Duc Phuong "/>
    <n v="924508349"/>
    <n v="8990000"/>
    <n v="2"/>
    <n v="17980000"/>
    <n v="12"/>
    <x v="0"/>
    <d v="2024-12-28T00:00:00"/>
    <s v="Dong Da"/>
    <x v="2"/>
    <x v="22"/>
  </r>
  <r>
    <s v="[DH142] "/>
    <s v=" Dinh Hong Em "/>
    <n v="944295247"/>
    <n v="12500000"/>
    <n v="1"/>
    <n v="12500000"/>
    <n v="12"/>
    <x v="2"/>
    <d v="2024-12-11T00:00:00"/>
    <s v="Cau Giay"/>
    <x v="2"/>
    <x v="8"/>
  </r>
  <r>
    <s v="[DH270] "/>
    <s v=" Chau Hong Ngoc "/>
    <n v="984227466"/>
    <n v="8990000"/>
    <n v="2"/>
    <n v="17980000"/>
    <n v="12"/>
    <x v="2"/>
    <d v="2024-12-14T00:00:00"/>
    <s v="Dong Da"/>
    <x v="2"/>
    <x v="22"/>
  </r>
  <r>
    <s v="[DH063] "/>
    <s v=" Truong Kim Kien "/>
    <n v="966581473"/>
    <n v="6990000"/>
    <n v="2"/>
    <n v="13980000"/>
    <n v="12"/>
    <x v="0"/>
    <d v="2024-12-27T00:00:00"/>
    <s v="Cau Giay"/>
    <x v="0"/>
    <x v="18"/>
  </r>
  <r>
    <s v="[DH190] "/>
    <s v=" Tang Thanh Son "/>
    <n v="984040798"/>
    <n v="25990000"/>
    <n v="1"/>
    <n v="25990000"/>
    <n v="12"/>
    <x v="5"/>
    <d v="2024-12-20T00:00:00"/>
    <s v="Long Bien"/>
    <x v="0"/>
    <x v="14"/>
  </r>
  <r>
    <s v="[DH043] "/>
    <s v=" Bui Thanh Uy "/>
    <n v="963643924"/>
    <n v="2990000"/>
    <n v="3"/>
    <n v="8970000"/>
    <n v="12"/>
    <x v="0"/>
    <d v="2024-12-27T00:00:00"/>
    <s v="Dong Da"/>
    <x v="1"/>
    <x v="12"/>
  </r>
  <r>
    <s v="[DH276] "/>
    <s v=" Vu Kim Kien "/>
    <n v="966519399"/>
    <n v="12500000"/>
    <n v="2"/>
    <n v="25000000"/>
    <n v="12"/>
    <x v="5"/>
    <d v="2024-12-16T00:00:00"/>
    <s v="Long Bien"/>
    <x v="2"/>
    <x v="8"/>
  </r>
  <r>
    <s v="[DH174] "/>
    <s v=" Bui Van Ngoc "/>
    <n v="919067690"/>
    <n v="9990000"/>
    <s v="1"/>
    <n v="9990000"/>
    <n v="12"/>
    <x v="2"/>
    <d v="2024-12-08T00:00:00"/>
    <s v="Dong Da"/>
    <x v="2"/>
    <x v="13"/>
  </r>
  <r>
    <s v="[DH028] "/>
    <s v=" Do Duc Giang "/>
    <n v="917849494"/>
    <n v="280000"/>
    <s v="1"/>
    <n v="280000"/>
    <n v="12"/>
    <x v="0"/>
    <d v="2024-12-24T00:00:00"/>
    <s v="Cau Giay"/>
    <x v="1"/>
    <x v="20"/>
  </r>
  <r>
    <s v="[DH166] "/>
    <s v=" Bui Ngoc Uy "/>
    <n v="929776801"/>
    <n v="8900000"/>
    <n v="2"/>
    <n v="17800000"/>
    <n v="12"/>
    <x v="3"/>
    <d v="2024-12-03T00:00:00"/>
    <s v="Dong Da"/>
    <x v="2"/>
    <x v="9"/>
  </r>
  <r>
    <s v="[DH243] "/>
    <s v=" Tran Ngoc Yen "/>
    <n v="916533225"/>
    <n v="9990000"/>
    <n v="2"/>
    <n v="19980000"/>
    <n v="12"/>
    <x v="0"/>
    <d v="2024-12-24T00:00:00"/>
    <s v="Cau Giay"/>
    <x v="0"/>
    <x v="0"/>
  </r>
  <r>
    <s v="[DH218] "/>
    <s v=" La Kim Phuc "/>
    <n v="956323191"/>
    <n v="190000"/>
    <n v="3"/>
    <n v="570000"/>
    <n v="12"/>
    <x v="0"/>
    <d v="2024-12-26T00:00:00"/>
    <s v="Long Bien"/>
    <x v="1"/>
    <x v="10"/>
  </r>
  <r>
    <s v="[DH272] "/>
    <s v=" Pham Thi An "/>
    <n v="951374957"/>
    <n v="350000"/>
    <n v="1"/>
    <n v="350000"/>
    <n v="12"/>
    <x v="2"/>
    <d v="2024-12-12T00:00:00"/>
    <s v="Dong Da"/>
    <x v="1"/>
    <x v="1"/>
  </r>
  <r>
    <s v="[DH250] "/>
    <s v=" Quach Anh Binh "/>
    <n v="919768947"/>
    <n v="18990000"/>
    <n v="1"/>
    <n v="18990000"/>
    <n v="12"/>
    <x v="0"/>
    <d v="2024-12-26T00:00:00"/>
    <s v="Dong Da"/>
    <x v="0"/>
    <x v="2"/>
  </r>
  <r>
    <s v="[DH208] "/>
    <s v=" Tran Van Em "/>
    <n v="954699966"/>
    <n v="150000"/>
    <s v="2"/>
    <n v="300000"/>
    <n v="12"/>
    <x v="5"/>
    <d v="2024-12-17T00:00:00"/>
    <s v="Cau Giay"/>
    <x v="1"/>
    <x v="15"/>
  </r>
  <r>
    <s v="[DH077] "/>
    <s v=" Bui Anh Uy "/>
    <n v="990099897"/>
    <n v="12500000"/>
    <n v="2"/>
    <n v="25000000"/>
    <n v="12"/>
    <x v="3"/>
    <d v="2024-12-04T00:00:00"/>
    <s v="Dong Da"/>
    <x v="2"/>
    <x v="8"/>
  </r>
  <r>
    <s v="[DH018] "/>
    <s v=" La Minh Em "/>
    <n v="998550256"/>
    <n v="150000"/>
    <n v="2"/>
    <n v="300000"/>
    <n v="12"/>
    <x v="6"/>
    <d v="2024-12-31T00:00:00"/>
    <s v="Long Bien"/>
    <x v="1"/>
    <x v="15"/>
  </r>
  <r>
    <s v="[DH082] "/>
    <s v=" Duong Kim Son "/>
    <n v="969421007"/>
    <n v="12500000"/>
    <n v="2"/>
    <n v="25000000"/>
    <n v="12"/>
    <x v="0"/>
    <d v="2024-12-28T00:00:00"/>
    <s v="Cau Giay"/>
    <x v="2"/>
    <x v="8"/>
  </r>
  <r>
    <s v="[DH116] "/>
    <s v=" Ly Thi Hanh "/>
    <n v="973280554"/>
    <n v="12500000"/>
    <s v="2"/>
    <n v="25000000"/>
    <n v="12"/>
    <x v="5"/>
    <d v="2024-12-20T00:00:00"/>
    <s v="Cau Giay"/>
    <x v="0"/>
    <x v="19"/>
  </r>
  <r>
    <s v="[DH179] "/>
    <s v=" Ma Kim Minh "/>
    <n v="935074182"/>
    <n v="150000"/>
    <s v="3"/>
    <n v="450000"/>
    <n v="12"/>
    <x v="0"/>
    <d v="2024-12-23T00:00:00"/>
    <s v="Cau Giay"/>
    <x v="1"/>
    <x v="15"/>
  </r>
  <r>
    <s v="[DH113] "/>
    <s v=" Ly Hoang Uy "/>
    <n v="946578001"/>
    <n v="15990000"/>
    <s v="2"/>
    <n v="31980000"/>
    <n v="9"/>
    <x v="8"/>
    <d v="2024-09-12T00:00:00"/>
    <s v="Cau Giay"/>
    <x v="0"/>
    <x v="5"/>
  </r>
  <r>
    <s v="[DH025] "/>
    <s v=" Vu Duc Son "/>
    <n v="943528453"/>
    <n v="28990000"/>
    <n v="1"/>
    <n v="28990000"/>
    <n v="12"/>
    <x v="5"/>
    <d v="2024-12-15T00:00:00"/>
    <s v="Long Bien"/>
    <x v="0"/>
    <x v="6"/>
  </r>
  <r>
    <s v="[DH122] "/>
    <s v=" Hoang Anh Giang "/>
    <n v="919208698"/>
    <n v="190000"/>
    <n v="5"/>
    <n v="950000"/>
    <n v="12"/>
    <x v="5"/>
    <d v="2024-12-18T00:00:00"/>
    <s v="Cau Giay"/>
    <x v="1"/>
    <x v="10"/>
  </r>
  <r>
    <s v="[DH245] "/>
    <s v=" Truong Hong Lan "/>
    <n v="929228089"/>
    <n v="2990000"/>
    <n v="4"/>
    <n v="11960000"/>
    <n v="12"/>
    <x v="5"/>
    <d v="2024-12-17T00:00:00"/>
    <s v="Long Bien"/>
    <x v="1"/>
    <x v="12"/>
  </r>
  <r>
    <s v="[DH134] "/>
    <s v=" Hoang Ngoc Hanh "/>
    <n v="924524825"/>
    <n v="9990000"/>
    <n v="2"/>
    <n v="19980000"/>
    <n v="12"/>
    <x v="0"/>
    <d v="2024-12-28T00:00:00"/>
    <s v="Long Bien"/>
    <x v="2"/>
    <x v="13"/>
  </r>
  <r>
    <s v="[DH053] "/>
    <s v=" Nguyen Thi Quynh "/>
    <n v="939372360"/>
    <n v="15990000"/>
    <n v="2"/>
    <n v="31980000"/>
    <n v="12"/>
    <x v="0"/>
    <d v="2024-12-26T00:00:00"/>
    <s v="Cau Giay"/>
    <x v="0"/>
    <x v="5"/>
  </r>
  <r>
    <s v="[DH263] "/>
    <s v=" Ngo Duc Cuong "/>
    <n v="997742922"/>
    <n v="3990000"/>
    <n v="1"/>
    <n v="3990000"/>
    <n v="12"/>
    <x v="0"/>
    <d v="2024-12-25T00:00:00"/>
    <s v="Long Bien"/>
    <x v="1"/>
    <x v="16"/>
  </r>
  <r>
    <s v="[DH117] "/>
    <s v=" Ma Duc Quynh "/>
    <n v="925659979"/>
    <n v="25990000"/>
    <n v="2"/>
    <n v="51980000"/>
    <n v="12"/>
    <x v="3"/>
    <d v="2024-12-02T00:00:00"/>
    <s v="Cau Giay"/>
    <x v="0"/>
    <x v="14"/>
  </r>
  <r>
    <s v="[DH088] "/>
    <s v=" Truong Anh Kien "/>
    <n v="913471527"/>
    <n v="28990000"/>
    <s v="1"/>
    <n v="28990000"/>
    <n v="12"/>
    <x v="2"/>
    <d v="2024-12-08T00:00:00"/>
    <s v="Long Bien"/>
    <x v="0"/>
    <x v="6"/>
  </r>
  <r>
    <s v="[DH080] "/>
    <s v=" Bui Ngoc Dung "/>
    <n v="918770247"/>
    <n v="8990000"/>
    <n v="1"/>
    <n v="8990000"/>
    <n v="12"/>
    <x v="5"/>
    <d v="2024-12-16T00:00:00"/>
    <s v="Long Bien"/>
    <x v="2"/>
    <x v="22"/>
  </r>
  <r>
    <s v="[DH090] "/>
    <s v=" Le Ngoc Ngoc "/>
    <n v="964807553"/>
    <n v="18490000"/>
    <n v="1"/>
    <n v="18490000"/>
    <n v="12"/>
    <x v="2"/>
    <d v="2024-12-11T00:00:00"/>
    <s v="Long Bien"/>
    <x v="2"/>
    <x v="7"/>
  </r>
  <r>
    <s v="[DH037] "/>
    <s v=" Hoang Duc Phuong "/>
    <n v="969302158"/>
    <n v="450000"/>
    <n v="5"/>
    <n v="2250000"/>
    <n v="12"/>
    <x v="0"/>
    <d v="2024-12-23T00:00:00"/>
    <s v="Long Bien"/>
    <x v="1"/>
    <x v="11"/>
  </r>
  <r>
    <s v="[DH187] "/>
    <s v=" Dinh Ngoc Giang "/>
    <n v="926460116"/>
    <n v="25990000"/>
    <n v="2"/>
    <n v="51980000"/>
    <n v="12"/>
    <x v="0"/>
    <d v="2024-12-28T00:00:00"/>
    <s v="Dong Da"/>
    <x v="0"/>
    <x v="14"/>
  </r>
  <r>
    <s v="[DH241] "/>
    <s v=" Ma Hoang Quynh "/>
    <n v="981394920"/>
    <n v="8990000"/>
    <n v="1"/>
    <n v="8990000"/>
    <n v="12"/>
    <x v="0"/>
    <d v="2024-12-27T00:00:00"/>
    <s v="Dong Da"/>
    <x v="2"/>
    <x v="22"/>
  </r>
  <r>
    <s v="[DH213] "/>
    <s v=" Tran Anh Dung "/>
    <n v="935606639"/>
    <n v="12500000"/>
    <n v="2"/>
    <n v="25000000"/>
    <n v="12"/>
    <x v="5"/>
    <d v="2024-12-15T00:00:00"/>
    <s v="Cau Giay"/>
    <x v="0"/>
    <x v="19"/>
  </r>
  <r>
    <s v="[DH022] "/>
    <s v=" La Minh Xuan "/>
    <n v="987337818"/>
    <n v="150000"/>
    <n v="4"/>
    <n v="600000"/>
    <n v="8"/>
    <x v="15"/>
    <d v="2024-08-12T00:00:00"/>
    <s v="Long Bien"/>
    <x v="1"/>
    <x v="15"/>
  </r>
  <r>
    <s v="[DH247] "/>
    <s v=" To Minh Lan "/>
    <n v="960527631"/>
    <n v="15990000"/>
    <n v="2"/>
    <n v="31980000"/>
    <n v="12"/>
    <x v="0"/>
    <d v="2024-12-25T00:00:00"/>
    <s v="Dong Da"/>
    <x v="0"/>
    <x v="5"/>
  </r>
  <r>
    <s v="[DH236] "/>
    <s v=" To Ngoc Xuan "/>
    <n v="917749299"/>
    <n v="450000"/>
    <s v="3"/>
    <n v="1350000"/>
    <n v="12"/>
    <x v="5"/>
    <d v="2024-12-15T00:00:00"/>
    <s v="Dong Da"/>
    <x v="1"/>
    <x v="11"/>
  </r>
  <r>
    <s v="[DH107] "/>
    <s v=" Nguyen Ngoc Lan "/>
    <n v="983363160"/>
    <n v="15990000"/>
    <s v="2"/>
    <n v="31980000"/>
    <n v="3"/>
    <x v="1"/>
    <d v="2024-03-12T00:00:00"/>
    <s v="Dong Da"/>
    <x v="0"/>
    <x v="5"/>
  </r>
  <r>
    <s v="[DH076] "/>
    <s v=" Bui Hong Dung "/>
    <n v="935848226"/>
    <n v="18490000"/>
    <n v="1"/>
    <n v="18490000"/>
    <n v="12"/>
    <x v="3"/>
    <d v="2024-12-04T00:00:00"/>
    <s v="Dong Da"/>
    <x v="2"/>
    <x v="7"/>
  </r>
  <r>
    <s v="[DH054] "/>
    <s v=" Ma Minh Son "/>
    <n v="999600766"/>
    <n v="890000"/>
    <n v="3"/>
    <n v="2670000"/>
    <n v="12"/>
    <x v="5"/>
    <d v="2024-12-18T00:00:00"/>
    <s v="Long Bien"/>
    <x v="1"/>
    <x v="23"/>
  </r>
  <r>
    <s v="[DH248] "/>
    <s v=" Hoang Ngoc Binh "/>
    <n v="985482164"/>
    <n v="8900000"/>
    <n v="1"/>
    <n v="8900000"/>
    <n v="12"/>
    <x v="6"/>
    <d v="2024-12-31T00:00:00"/>
    <s v="Cau Giay"/>
    <x v="2"/>
    <x v="9"/>
  </r>
  <r>
    <s v="[DH013] "/>
    <s v=" Cao Kim Yen "/>
    <n v="972820592"/>
    <n v="890000"/>
    <s v="1"/>
    <n v="890000"/>
    <n v="12"/>
    <x v="2"/>
    <d v="2024-12-09T00:00:00"/>
    <s v="Long Bien"/>
    <x v="1"/>
    <x v="23"/>
  </r>
  <r>
    <s v="[DH177] "/>
    <s v=" Tran Thanh Lan "/>
    <n v="979173614"/>
    <n v="8990000"/>
    <n v="2"/>
    <n v="17980000"/>
    <n v="12"/>
    <x v="0"/>
    <d v="2024-12-27T00:00:00"/>
    <s v="Long Bien"/>
    <x v="2"/>
    <x v="22"/>
  </r>
  <r>
    <s v="[DH078] "/>
    <s v=" Nguyen Hoang Em "/>
    <n v="946817443"/>
    <n v="22990000"/>
    <s v="2"/>
    <n v="45980000"/>
    <n v="12"/>
    <x v="3"/>
    <d v="2024-12-02T00:00:00"/>
    <s v="Long Bien"/>
    <x v="0"/>
    <x v="24"/>
  </r>
  <r>
    <s v="[DH257] "/>
    <s v=" Vu Minh Van "/>
    <n v="975540707"/>
    <n v="15990000"/>
    <s v="1"/>
    <n v="15990000"/>
    <n v="12"/>
    <x v="6"/>
    <d v="2024-12-30T00:00:00"/>
    <s v="Cau Giay"/>
    <x v="0"/>
    <x v="5"/>
  </r>
  <r>
    <s v="[DH238] "/>
    <s v=" Chau Van Lan "/>
    <n v="964877191"/>
    <n v="15990000"/>
    <n v="2"/>
    <n v="31980000"/>
    <n v="12"/>
    <x v="0"/>
    <d v="2024-12-25T00:00:00"/>
    <s v="Dong Da"/>
    <x v="0"/>
    <x v="5"/>
  </r>
  <r>
    <s v="[DH201] "/>
    <s v=" Tran Duc Phuc "/>
    <n v="992594562"/>
    <n v="8900000"/>
    <s v="2"/>
    <n v="17800000"/>
    <n v="12"/>
    <x v="2"/>
    <d v="2024-12-08T00:00:00"/>
    <s v="Cau Giay"/>
    <x v="2"/>
    <x v="9"/>
  </r>
  <r>
    <s v="[DH192] "/>
    <s v=" Duong Thanh Em "/>
    <n v="983994695"/>
    <n v="3990000"/>
    <n v="2"/>
    <n v="7980000"/>
    <n v="12"/>
    <x v="5"/>
    <d v="2024-12-19T00:00:00"/>
    <s v="Cau Giay"/>
    <x v="1"/>
    <x v="16"/>
  </r>
  <r>
    <s v="[DH229] "/>
    <s v=" Truong Hong An "/>
    <n v="945002007"/>
    <n v="8990000"/>
    <n v="2"/>
    <n v="17980000"/>
    <n v="8"/>
    <x v="15"/>
    <d v="2024-08-12T00:00:00"/>
    <s v="Long Bien"/>
    <x v="2"/>
    <x v="22"/>
  </r>
  <r>
    <s v="[DH269] "/>
    <s v=" Truong Anh Yen "/>
    <n v="989941241"/>
    <n v="8990000"/>
    <s v="1"/>
    <n v="8990000"/>
    <n v="12"/>
    <x v="0"/>
    <d v="2024-12-25T00:00:00"/>
    <s v="Dong Da"/>
    <x v="2"/>
    <x v="22"/>
  </r>
  <r>
    <s v="[DH266] "/>
    <s v=" Bui Hoang Xuan "/>
    <n v="998329927"/>
    <n v="22990000"/>
    <n v="1"/>
    <n v="22990000"/>
    <n v="6"/>
    <x v="14"/>
    <d v="2024-06-12T00:00:00"/>
    <s v="Long Bien"/>
    <x v="0"/>
    <x v="24"/>
  </r>
  <r>
    <s v="[DH262] "/>
    <s v=" Ly Duc Phuc "/>
    <n v="920605783"/>
    <n v="9990000"/>
    <s v="2"/>
    <n v="19980000"/>
    <n v="12"/>
    <x v="6"/>
    <d v="2024-12-31T00:00:00"/>
    <s v="Long Bien"/>
    <x v="2"/>
    <x v="13"/>
  </r>
  <r>
    <s v="[DH114] "/>
    <s v=" Ma Thi Em "/>
    <n v="940281491"/>
    <n v="2990000"/>
    <s v="4"/>
    <n v="11960000"/>
    <n v="12"/>
    <x v="0"/>
    <d v="2024-12-24T00:00:00"/>
    <s v="Dong Da"/>
    <x v="1"/>
    <x v="12"/>
  </r>
  <r>
    <s v="[DH133] "/>
    <s v=" To Thanh Quynh "/>
    <n v="916904975"/>
    <n v="12500000"/>
    <n v="2"/>
    <n v="25000000"/>
    <n v="12"/>
    <x v="5"/>
    <d v="2024-12-20T00:00:00"/>
    <s v="Cau Giay"/>
    <x v="2"/>
    <x v="8"/>
  </r>
  <r>
    <s v="[DH006] "/>
    <s v=" Quach Thanh Xuan "/>
    <n v="935808537"/>
    <n v="5290000"/>
    <n v="2"/>
    <n v="10580000"/>
    <n v="12"/>
    <x v="3"/>
    <d v="2024-12-03T00:00:00"/>
    <s v="Cau Giay"/>
    <x v="1"/>
    <x v="17"/>
  </r>
  <r>
    <s v="[DH055] "/>
    <s v=" Duong Kim Van "/>
    <n v="969849511"/>
    <n v="15990000"/>
    <n v="2"/>
    <n v="31980000"/>
    <n v="12"/>
    <x v="0"/>
    <d v="2024-12-24T00:00:00"/>
    <s v="Long Bien"/>
    <x v="0"/>
    <x v="5"/>
  </r>
  <r>
    <s v="[DH221] "/>
    <s v=" Ngo Hong Binh "/>
    <n v="923448342"/>
    <n v="8900000"/>
    <n v="2"/>
    <n v="17800000"/>
    <n v="12"/>
    <x v="2"/>
    <d v="2024-12-11T00:00:00"/>
    <s v="Cau Giay"/>
    <x v="2"/>
    <x v="9"/>
  </r>
  <r>
    <s v="[DH170] "/>
    <s v=" Dinh Thi Binh "/>
    <n v="942002808"/>
    <n v="8900000"/>
    <n v="2"/>
    <n v="17800000"/>
    <n v="12"/>
    <x v="5"/>
    <d v="2024-12-21T00:00:00"/>
    <s v="Dong Da"/>
    <x v="2"/>
    <x v="9"/>
  </r>
  <r>
    <s v="[DH205] "/>
    <s v=" Ly Van Phuc "/>
    <n v="916866268"/>
    <n v="280000"/>
    <s v="3"/>
    <n v="840000"/>
    <n v="12"/>
    <x v="5"/>
    <d v="2024-12-18T00:00:00"/>
    <s v="Dong Da"/>
    <x v="1"/>
    <x v="20"/>
  </r>
  <r>
    <s v="[DH023] "/>
    <s v=" To Thanh Quynh "/>
    <n v="965177213"/>
    <n v="350000"/>
    <s v="1"/>
    <n v="350000"/>
    <n v="12"/>
    <x v="0"/>
    <d v="2024-12-28T00:00:00"/>
    <s v="Long Bien"/>
    <x v="1"/>
    <x v="1"/>
  </r>
  <r>
    <s v="[DH086] "/>
    <s v=" Hoang Duc Em "/>
    <n v="919584466"/>
    <n v="22990000"/>
    <n v="2"/>
    <n v="45980000"/>
    <n v="6"/>
    <x v="14"/>
    <d v="2024-06-12T00:00:00"/>
    <s v="Long Bien"/>
    <x v="0"/>
    <x v="24"/>
  </r>
  <r>
    <s v="[DH182] "/>
    <s v=" Ly Anh Quynh "/>
    <n v="946850196"/>
    <n v="3990000"/>
    <s v="1"/>
    <n v="3990000"/>
    <n v="12"/>
    <x v="0"/>
    <d v="2024-12-26T00:00:00"/>
    <s v="Dong Da"/>
    <x v="1"/>
    <x v="16"/>
  </r>
  <r>
    <s v="[DH128] "/>
    <s v=" Quach Minh Cuong "/>
    <n v="926937148"/>
    <n v="6990000"/>
    <n v="2"/>
    <n v="13980000"/>
    <n v="12"/>
    <x v="5"/>
    <d v="2024-12-20T00:00:00"/>
    <s v="Long Bien"/>
    <x v="0"/>
    <x v="18"/>
  </r>
  <r>
    <s v="[DH056] "/>
    <s v=" Bui Hoang Tam "/>
    <n v="994120751"/>
    <n v="9990000"/>
    <s v="1"/>
    <n v="9990000"/>
    <n v="9"/>
    <x v="8"/>
    <d v="2024-09-12T00:00:00"/>
    <s v="Dong Da"/>
    <x v="0"/>
    <x v="0"/>
  </r>
  <r>
    <s v="[DH275] "/>
    <s v=" Tang Hoang Phuong "/>
    <n v="961100987"/>
    <n v="15990000"/>
    <n v="2"/>
    <n v="31980000"/>
    <n v="5"/>
    <x v="9"/>
    <d v="2024-05-12T00:00:00"/>
    <s v="Cau Giay"/>
    <x v="0"/>
    <x v="5"/>
  </r>
  <r>
    <s v="[DH185] "/>
    <s v=" Tang Minh Uy "/>
    <n v="959251188"/>
    <n v="8990000"/>
    <n v="2"/>
    <n v="17980000"/>
    <n v="12"/>
    <x v="2"/>
    <d v="2024-12-11T00:00:00"/>
    <s v="Cau Giay"/>
    <x v="2"/>
    <x v="22"/>
  </r>
  <r>
    <s v="[DH279] "/>
    <s v=" Do Ngoc Minh "/>
    <n v="933842070"/>
    <n v="8990000"/>
    <s v="2"/>
    <n v="17980000"/>
    <n v="12"/>
    <x v="6"/>
    <d v="2024-12-31T00:00:00"/>
    <s v="Dong Da"/>
    <x v="2"/>
    <x v="22"/>
  </r>
  <r>
    <s v="[DH215] "/>
    <s v=" Chau Hoang Phuc "/>
    <n v="952111160"/>
    <n v="15990000"/>
    <s v="2"/>
    <n v="31980000"/>
    <n v="12"/>
    <x v="5"/>
    <d v="2024-12-15T00:00:00"/>
    <s v="Long Bien"/>
    <x v="0"/>
    <x v="5"/>
  </r>
  <r>
    <s v="[DH260] "/>
    <s v=" La Hoang Quynh "/>
    <n v="911590610"/>
    <n v="12500000"/>
    <s v="2"/>
    <n v="25000000"/>
    <n v="12"/>
    <x v="5"/>
    <d v="2024-12-17T00:00:00"/>
    <s v="Cau Giay"/>
    <x v="0"/>
    <x v="19"/>
  </r>
  <r>
    <s v="[DH274] "/>
    <s v=" Quach Thanh Phuc "/>
    <n v="911656329"/>
    <n v="12500000"/>
    <s v="1"/>
    <n v="12500000"/>
    <n v="12"/>
    <x v="2"/>
    <d v="2024-12-14T00:00:00"/>
    <s v="Cau Giay"/>
    <x v="2"/>
    <x v="8"/>
  </r>
  <r>
    <s v="[DH206] "/>
    <s v=" Duong Ngoc Van "/>
    <n v="947543473"/>
    <n v="80000"/>
    <n v="1"/>
    <n v="80000"/>
    <n v="12"/>
    <x v="0"/>
    <d v="2024-12-22T00:00:00"/>
    <s v="Dong Da"/>
    <x v="1"/>
    <x v="4"/>
  </r>
  <r>
    <s v="[DH246] "/>
    <s v=" Tang Minh Quynh "/>
    <n v="984605013"/>
    <n v="150000"/>
    <s v="4"/>
    <n v="600000"/>
    <n v="2"/>
    <x v="13"/>
    <d v="2024-02-12T00:00:00"/>
    <s v="Dong Da"/>
    <x v="1"/>
    <x v="15"/>
  </r>
  <r>
    <s v="[DH230] "/>
    <s v=" Tang Van Kien "/>
    <n v="997735896"/>
    <n v="9990000"/>
    <s v="1"/>
    <n v="9990000"/>
    <n v="12"/>
    <x v="0"/>
    <d v="2024-12-23T00:00:00"/>
    <s v="Dong Da"/>
    <x v="2"/>
    <x v="13"/>
  </r>
  <r>
    <s v="[DH194] "/>
    <s v=" Dinh Thi Kien "/>
    <n v="936347197"/>
    <n v="3990000"/>
    <n v="3"/>
    <n v="11970000"/>
    <n v="12"/>
    <x v="6"/>
    <d v="2024-12-31T00:00:00"/>
    <s v="Long Bien"/>
    <x v="1"/>
    <x v="16"/>
  </r>
  <r>
    <s v="[DH217] "/>
    <s v=" Dinh Hong Tam "/>
    <n v="952552488"/>
    <n v="150000"/>
    <n v="3"/>
    <n v="450000"/>
    <n v="12"/>
    <x v="2"/>
    <d v="2024-12-12T00:00:00"/>
    <s v="Long Bien"/>
    <x v="1"/>
    <x v="15"/>
  </r>
  <r>
    <s v="[DH079] "/>
    <s v=" Chau Thi An "/>
    <n v="987049595"/>
    <n v="12500000"/>
    <n v="2"/>
    <n v="25000000"/>
    <n v="12"/>
    <x v="5"/>
    <d v="2024-12-16T00:00:00"/>
    <s v="Cau Giay"/>
    <x v="2"/>
    <x v="8"/>
  </r>
  <r>
    <s v="[DH130] "/>
    <s v=" Do Kim Son "/>
    <n v="940667888"/>
    <n v="8900000"/>
    <n v="2"/>
    <n v="17800000"/>
    <n v="11"/>
    <x v="10"/>
    <d v="2024-11-12T00:00:00"/>
    <s v="Dong Da"/>
    <x v="2"/>
    <x v="9"/>
  </r>
  <r>
    <s v="[DH124] "/>
    <s v=" Pham Van Em "/>
    <n v="911994519"/>
    <n v="9990000"/>
    <n v="2"/>
    <n v="19980000"/>
    <n v="12"/>
    <x v="0"/>
    <d v="2024-12-26T00:00:00"/>
    <s v="Cau Giay"/>
    <x v="2"/>
    <x v="13"/>
  </r>
  <r>
    <s v="[DH156] "/>
    <s v=" Quach Van Minh "/>
    <n v="918846539"/>
    <n v="18490000"/>
    <n v="2"/>
    <n v="36980000"/>
    <n v="12"/>
    <x v="3"/>
    <d v="2024-12-04T00:00:00"/>
    <s v="Long Bien"/>
    <x v="2"/>
    <x v="7"/>
  </r>
  <r>
    <s v="[DH072] "/>
    <s v=" Vu Ngoc Giang "/>
    <n v="957623800"/>
    <n v="6990000"/>
    <s v="2"/>
    <n v="13980000"/>
    <n v="11"/>
    <x v="10"/>
    <d v="2024-11-12T00:00:00"/>
    <s v="Cau Giay"/>
    <x v="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0410EE-019C-449F-AD27-CCDC0A745CA7}"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3:H29" firstHeaderRow="1" firstDataRow="1" firstDataCol="1"/>
  <pivotFields count="12">
    <pivotField showAll="0"/>
    <pivotField showAll="0"/>
    <pivotField showAll="0"/>
    <pivotField showAll="0"/>
    <pivotField dataField="1" showAll="0"/>
    <pivotField showAll="0"/>
    <pivotField showAll="0"/>
    <pivotField showAll="0"/>
    <pivotField numFmtId="165" showAll="0"/>
    <pivotField showAll="0"/>
    <pivotField showAll="0"/>
    <pivotField axis="axisRow" showAll="0" measureFilter="1" sortType="descending">
      <items count="26">
        <item x="16"/>
        <item x="17"/>
        <item x="21"/>
        <item x="15"/>
        <item x="12"/>
        <item x="7"/>
        <item x="8"/>
        <item x="19"/>
        <item x="24"/>
        <item x="6"/>
        <item x="9"/>
        <item x="4"/>
        <item x="1"/>
        <item x="2"/>
        <item x="18"/>
        <item x="20"/>
        <item x="11"/>
        <item x="3"/>
        <item x="14"/>
        <item x="13"/>
        <item x="23"/>
        <item x="10"/>
        <item x="0"/>
        <item x="5"/>
        <item x="22"/>
        <item t="default"/>
      </items>
      <autoSortScope>
        <pivotArea dataOnly="0" outline="0" fieldPosition="0">
          <references count="1">
            <reference field="4294967294" count="1" selected="0">
              <x v="0"/>
            </reference>
          </references>
        </pivotArea>
      </autoSortScope>
    </pivotField>
  </pivotFields>
  <rowFields count="1">
    <field x="11"/>
  </rowFields>
  <rowItems count="6">
    <i>
      <x v="1"/>
    </i>
    <i>
      <x v="3"/>
    </i>
    <i>
      <x v="4"/>
    </i>
    <i>
      <x v="16"/>
    </i>
    <i>
      <x v="6"/>
    </i>
    <i t="grand">
      <x/>
    </i>
  </rowItems>
  <colItems count="1">
    <i/>
  </colItems>
  <dataFields count="1">
    <dataField name="Sum of Qty" fld="4" baseField="1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C95DF5-B439-4AEF-8FFD-A2421F2648B6}"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I20" firstHeaderRow="0" firstDataRow="1" firstDataCol="1"/>
  <pivotFields count="12">
    <pivotField showAll="0"/>
    <pivotField showAll="0"/>
    <pivotField showAll="0"/>
    <pivotField showAll="0"/>
    <pivotField dataField="1" showAll="0"/>
    <pivotField dataField="1" showAll="0"/>
    <pivotField showAll="0"/>
    <pivotField axis="axisRow" showAll="0">
      <items count="17">
        <item x="7"/>
        <item x="13"/>
        <item x="1"/>
        <item x="4"/>
        <item x="9"/>
        <item x="14"/>
        <item x="12"/>
        <item x="15"/>
        <item x="8"/>
        <item x="11"/>
        <item x="10"/>
        <item x="3"/>
        <item x="2"/>
        <item x="5"/>
        <item x="0"/>
        <item x="6"/>
        <item t="default"/>
      </items>
    </pivotField>
    <pivotField numFmtId="165" showAll="0"/>
    <pivotField showAll="0"/>
    <pivotField showAll="0"/>
    <pivotField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Qty" fld="4" baseField="7" baseItem="0"/>
    <dataField name="Sum of Doanh thu" fld="5"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24DFE-E380-4F7E-A629-BD568CA023B4}"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27" firstHeaderRow="1" firstDataRow="1" firstDataCol="1"/>
  <pivotFields count="12">
    <pivotField showAll="0"/>
    <pivotField showAll="0"/>
    <pivotField showAll="0"/>
    <pivotField showAll="0"/>
    <pivotField showAll="0"/>
    <pivotField dataField="1" showAll="0"/>
    <pivotField showAll="0"/>
    <pivotField showAll="0"/>
    <pivotField numFmtId="165" showAll="0"/>
    <pivotField showAll="0"/>
    <pivotField axis="axisRow" showAll="0">
      <items count="4">
        <item x="0"/>
        <item x="2"/>
        <item x="1"/>
        <item t="default"/>
      </items>
    </pivotField>
    <pivotField showAll="0"/>
  </pivotFields>
  <rowFields count="1">
    <field x="10"/>
  </rowFields>
  <rowItems count="4">
    <i>
      <x/>
    </i>
    <i>
      <x v="1"/>
    </i>
    <i>
      <x v="2"/>
    </i>
    <i t="grand">
      <x/>
    </i>
  </rowItems>
  <colItems count="1">
    <i/>
  </colItems>
  <dataFields count="1">
    <dataField name="Sum of Doanh thu"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1"/>
          </reference>
        </references>
      </pivotArea>
    </chartFormat>
    <chartFormat chart="6"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71DFBE-7427-4B0A-9D53-8DA7A274D6C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2">
    <pivotField showAll="0"/>
    <pivotField showAll="0"/>
    <pivotField showAll="0"/>
    <pivotField showAll="0"/>
    <pivotField showAll="0"/>
    <pivotField dataField="1" showAll="0"/>
    <pivotField showAll="0"/>
    <pivotField showAll="0"/>
    <pivotField numFmtId="165"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9"/>
  </rowFields>
  <rowItems count="4">
    <i>
      <x/>
    </i>
    <i>
      <x v="2"/>
    </i>
    <i>
      <x v="1"/>
    </i>
    <i t="grand">
      <x/>
    </i>
  </rowItems>
  <colItems count="1">
    <i/>
  </colItems>
  <dataFields count="1">
    <dataField name="Sum of Doanh thu" fld="5" baseField="0" baseItem="0" numFmtId="166"/>
  </dataFields>
  <formats count="2">
    <format dxfId="3">
      <pivotArea outline="0" collapsedLevelsAreSubtotals="1"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anh" xr10:uid="{9F6D2A40-D7B8-4F22-84F9-E9F810A93E87}" sourceName="Chi_Nhanh">
  <pivotTables>
    <pivotTable tabId="2" name="PivotTable1"/>
  </pivotTables>
  <data>
    <tabular pivotCacheId="139440280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h_Muc" xr10:uid="{9ACBD430-326B-4AF0-A775-5EA0530FDEA1}" sourceName="Danh_Muc">
  <pivotTables>
    <pivotTable tabId="2" name="PivotTable2"/>
  </pivotTables>
  <data>
    <tabular pivotCacheId="13929981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_Nhanh" xr10:uid="{311321A3-3593-4632-A7CD-F21BB0DC61BD}" cache="Slicer_Chi_Nhanh" caption="Chi_Nhanh" rowHeight="241300"/>
  <slicer name="Danh_Muc" xr10:uid="{01D38E64-28C2-4518-A3BE-1E0E5B25EEAF}" cache="Slicer_Danh_Muc" caption="Danh_Muc"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_Nhanh 1" xr10:uid="{3F85854D-DBFD-4B48-B986-5C0652B03430}" cache="Slicer_Chi_Nhanh" caption="Chi_Nhanh" style="SlicerStyleLight2" rowHeight="241300"/>
  <slicer name="Danh_Muc 1" xr10:uid="{D7F5C17F-9252-44B7-8BA9-34EBE39768C8}" cache="Slicer_Danh_Muc" caption="Danh_Muc"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3925F6-D086-4F6B-AFF3-B609E010B590}" name="Table2" displayName="Table2" ref="A1:L281" totalsRowShown="0" headerRowDxfId="4" headerRowBorderDxfId="10" tableBorderDxfId="11">
  <autoFilter ref="A1:L281" xr:uid="{00000000-0001-0000-0000-000000000000}"/>
  <tableColumns count="12">
    <tableColumn id="1" xr3:uid="{8562588E-9350-4DF6-80B2-DF3C939910C4}" name="Mã đơn"/>
    <tableColumn id="2" xr3:uid="{AFEACCE9-1010-4B52-86E9-ED112B238989}" name="Họ tên"/>
    <tableColumn id="3" xr3:uid="{15D7069B-54CA-4FDD-B317-67FFD79408F3}" name="Số điện thoại"/>
    <tableColumn id="4" xr3:uid="{22D55FC1-16ED-4642-A0D4-5696BB31E5A3}" name="Price"/>
    <tableColumn id="5" xr3:uid="{3CF130BE-618C-4390-A68F-5C4098C69CB6}" name="Qty" dataDxfId="9"/>
    <tableColumn id="6" xr3:uid="{C265C129-2C61-48E8-B4BF-7DA0C698365C}" name="Doanh thu" dataDxfId="8">
      <calculatedColumnFormula>(E2)*(D2)</calculatedColumnFormula>
    </tableColumn>
    <tableColumn id="7" xr3:uid="{D2061F19-123B-44BA-AF21-8D5730B86007}" name="Tháng" dataDxfId="7">
      <calculatedColumnFormula>MONTH(I2)</calculatedColumnFormula>
    </tableColumn>
    <tableColumn id="8" xr3:uid="{29A30BBF-A25B-4421-AB00-B50774A0EA3E}" name="Tuần" dataDxfId="6">
      <calculatedColumnFormula>WEEKNUM(I2)</calculatedColumnFormula>
    </tableColumn>
    <tableColumn id="9" xr3:uid="{2982859B-7A3E-4D91-B48F-0924797EE9D9}" name="Date" dataDxfId="5"/>
    <tableColumn id="10" xr3:uid="{46F4C91B-2634-4A57-93EB-C10F338A2D0E}" name="Chi_Nhanh"/>
    <tableColumn id="11" xr3:uid="{2C358DAB-596C-436F-BFF4-420722CC520A}" name="Danh_Muc"/>
    <tableColumn id="12" xr3:uid="{95DD6A49-5786-4DDD-A498-D1E6385F847C}" name="Ten_SP"/>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FC36-8E32-4DDA-9DA9-34F42323D830}">
  <dimension ref="A3:I40"/>
  <sheetViews>
    <sheetView topLeftCell="A16" workbookViewId="0">
      <selection activeCell="G34" sqref="G34"/>
    </sheetView>
  </sheetViews>
  <sheetFormatPr defaultRowHeight="15" x14ac:dyDescent="0.25"/>
  <cols>
    <col min="1" max="1" width="13.5703125" bestFit="1" customWidth="1"/>
    <col min="2" max="2" width="16.85546875" style="8" bestFit="1" customWidth="1"/>
    <col min="7" max="7" width="22.5703125" bestFit="1" customWidth="1"/>
    <col min="8" max="8" width="10.7109375" bestFit="1" customWidth="1"/>
    <col min="9" max="9" width="16.85546875" bestFit="1" customWidth="1"/>
  </cols>
  <sheetData>
    <row r="3" spans="1:9" x14ac:dyDescent="0.25">
      <c r="A3" s="6" t="s">
        <v>599</v>
      </c>
      <c r="B3" s="8" t="s">
        <v>601</v>
      </c>
      <c r="G3" s="6" t="s">
        <v>599</v>
      </c>
      <c r="H3" t="s">
        <v>602</v>
      </c>
      <c r="I3" t="s">
        <v>601</v>
      </c>
    </row>
    <row r="4" spans="1:9" x14ac:dyDescent="0.25">
      <c r="A4" s="2" t="s">
        <v>13</v>
      </c>
      <c r="B4" s="8">
        <v>1553930000</v>
      </c>
      <c r="G4" s="2">
        <v>2</v>
      </c>
      <c r="H4" s="7">
        <v>9</v>
      </c>
      <c r="I4" s="7">
        <v>22230000</v>
      </c>
    </row>
    <row r="5" spans="1:9" x14ac:dyDescent="0.25">
      <c r="A5" s="2" t="s">
        <v>11</v>
      </c>
      <c r="B5" s="8">
        <v>1392260000</v>
      </c>
      <c r="G5" s="2">
        <v>7</v>
      </c>
      <c r="H5" s="7">
        <v>2</v>
      </c>
      <c r="I5" s="7">
        <v>32580000</v>
      </c>
    </row>
    <row r="6" spans="1:9" x14ac:dyDescent="0.25">
      <c r="A6" s="2" t="s">
        <v>12</v>
      </c>
      <c r="B6" s="8">
        <v>1345470000</v>
      </c>
      <c r="G6" s="2">
        <v>11</v>
      </c>
      <c r="H6" s="7">
        <v>9</v>
      </c>
      <c r="I6" s="7">
        <v>91320000</v>
      </c>
    </row>
    <row r="7" spans="1:9" x14ac:dyDescent="0.25">
      <c r="A7" s="2" t="s">
        <v>600</v>
      </c>
      <c r="B7" s="8">
        <v>4291660000</v>
      </c>
      <c r="G7" s="2">
        <v>15</v>
      </c>
      <c r="H7" s="7">
        <v>12</v>
      </c>
      <c r="I7" s="7">
        <v>28500000</v>
      </c>
    </row>
    <row r="8" spans="1:9" x14ac:dyDescent="0.25">
      <c r="G8" s="2">
        <v>20</v>
      </c>
      <c r="H8" s="7">
        <v>4</v>
      </c>
      <c r="I8" s="7">
        <v>34280000</v>
      </c>
    </row>
    <row r="9" spans="1:9" x14ac:dyDescent="0.25">
      <c r="G9" s="2">
        <v>24</v>
      </c>
      <c r="H9" s="7">
        <v>4</v>
      </c>
      <c r="I9" s="7">
        <v>84960000</v>
      </c>
    </row>
    <row r="10" spans="1:9" x14ac:dyDescent="0.25">
      <c r="G10" s="2">
        <v>28</v>
      </c>
      <c r="H10" s="7">
        <v>0</v>
      </c>
      <c r="I10" s="7">
        <v>280000</v>
      </c>
    </row>
    <row r="11" spans="1:9" x14ac:dyDescent="0.25">
      <c r="G11" s="2">
        <v>33</v>
      </c>
      <c r="H11" s="7">
        <v>10</v>
      </c>
      <c r="I11" s="7">
        <v>19180000</v>
      </c>
    </row>
    <row r="12" spans="1:9" x14ac:dyDescent="0.25">
      <c r="G12" s="2">
        <v>37</v>
      </c>
      <c r="H12" s="7">
        <v>0</v>
      </c>
      <c r="I12" s="7">
        <v>67960000</v>
      </c>
    </row>
    <row r="13" spans="1:9" x14ac:dyDescent="0.25">
      <c r="G13" s="2">
        <v>41</v>
      </c>
      <c r="H13" s="7">
        <v>5</v>
      </c>
      <c r="I13" s="7">
        <v>75600000</v>
      </c>
    </row>
    <row r="14" spans="1:9" x14ac:dyDescent="0.25">
      <c r="G14" s="2">
        <v>46</v>
      </c>
      <c r="H14" s="7">
        <v>3</v>
      </c>
      <c r="I14" s="7">
        <v>53570000</v>
      </c>
    </row>
    <row r="15" spans="1:9" x14ac:dyDescent="0.25">
      <c r="G15" s="2">
        <v>49</v>
      </c>
      <c r="H15" s="7">
        <v>44</v>
      </c>
      <c r="I15" s="7">
        <v>623380000</v>
      </c>
    </row>
    <row r="16" spans="1:9" x14ac:dyDescent="0.25">
      <c r="G16" s="2">
        <v>50</v>
      </c>
      <c r="H16" s="7">
        <v>52</v>
      </c>
      <c r="I16" s="7">
        <v>721350000</v>
      </c>
    </row>
    <row r="17" spans="1:9" x14ac:dyDescent="0.25">
      <c r="G17" s="2">
        <v>51</v>
      </c>
      <c r="H17" s="7">
        <v>97</v>
      </c>
      <c r="I17" s="7">
        <v>1007250000</v>
      </c>
    </row>
    <row r="18" spans="1:9" x14ac:dyDescent="0.25">
      <c r="G18" s="2">
        <v>52</v>
      </c>
      <c r="H18" s="7">
        <v>105</v>
      </c>
      <c r="I18" s="7">
        <v>1048420000</v>
      </c>
    </row>
    <row r="19" spans="1:9" x14ac:dyDescent="0.25">
      <c r="G19" s="2">
        <v>53</v>
      </c>
      <c r="H19" s="7">
        <v>33</v>
      </c>
      <c r="I19" s="7">
        <v>380800000</v>
      </c>
    </row>
    <row r="20" spans="1:9" x14ac:dyDescent="0.25">
      <c r="G20" s="2" t="s">
        <v>600</v>
      </c>
      <c r="H20" s="7">
        <v>389</v>
      </c>
      <c r="I20" s="7">
        <v>4291660000</v>
      </c>
    </row>
    <row r="23" spans="1:9" x14ac:dyDescent="0.25">
      <c r="A23" s="6" t="s">
        <v>599</v>
      </c>
      <c r="B23" t="s">
        <v>601</v>
      </c>
      <c r="G23" s="6" t="s">
        <v>599</v>
      </c>
      <c r="H23" t="s">
        <v>602</v>
      </c>
    </row>
    <row r="24" spans="1:9" x14ac:dyDescent="0.25">
      <c r="A24" s="2" t="s">
        <v>14</v>
      </c>
      <c r="B24" s="7">
        <v>2637160000</v>
      </c>
      <c r="G24" s="2" t="s">
        <v>34</v>
      </c>
      <c r="H24" s="7">
        <v>35</v>
      </c>
    </row>
    <row r="25" spans="1:9" x14ac:dyDescent="0.25">
      <c r="A25" s="2" t="s">
        <v>16</v>
      </c>
      <c r="B25" s="7">
        <v>1136790000</v>
      </c>
      <c r="G25" s="2" t="s">
        <v>32</v>
      </c>
      <c r="H25" s="7">
        <v>31</v>
      </c>
    </row>
    <row r="26" spans="1:9" x14ac:dyDescent="0.25">
      <c r="A26" s="2" t="s">
        <v>15</v>
      </c>
      <c r="B26" s="7">
        <v>517710000</v>
      </c>
      <c r="G26" s="2" t="s">
        <v>29</v>
      </c>
      <c r="H26" s="7">
        <v>29</v>
      </c>
    </row>
    <row r="27" spans="1:9" x14ac:dyDescent="0.25">
      <c r="A27" s="2" t="s">
        <v>600</v>
      </c>
      <c r="B27" s="7">
        <v>4291660000</v>
      </c>
      <c r="G27" s="2" t="s">
        <v>28</v>
      </c>
      <c r="H27" s="7">
        <v>22</v>
      </c>
    </row>
    <row r="28" spans="1:9" x14ac:dyDescent="0.25">
      <c r="B28"/>
      <c r="G28" s="2" t="s">
        <v>25</v>
      </c>
      <c r="H28" s="7">
        <v>22</v>
      </c>
    </row>
    <row r="29" spans="1:9" x14ac:dyDescent="0.25">
      <c r="B29"/>
      <c r="G29" s="2" t="s">
        <v>600</v>
      </c>
      <c r="H29" s="7">
        <v>139</v>
      </c>
    </row>
    <row r="30" spans="1:9" x14ac:dyDescent="0.25">
      <c r="B30"/>
    </row>
    <row r="31" spans="1:9" x14ac:dyDescent="0.25">
      <c r="B31"/>
    </row>
    <row r="32" spans="1:9"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topLeftCell="B1" workbookViewId="0">
      <selection activeCell="N8" sqref="N8"/>
    </sheetView>
  </sheetViews>
  <sheetFormatPr defaultRowHeight="15" x14ac:dyDescent="0.25"/>
  <cols>
    <col min="1" max="1" width="11.28515625" customWidth="1"/>
    <col min="2" max="2" width="19.85546875" customWidth="1"/>
    <col min="3" max="3" width="16.28515625" customWidth="1"/>
    <col min="4" max="4" width="14" customWidth="1"/>
    <col min="5" max="5" width="7.7109375" style="1" customWidth="1"/>
    <col min="6" max="6" width="12.28515625" style="1" customWidth="1"/>
    <col min="7" max="7" width="9.85546875" style="1" customWidth="1"/>
    <col min="8" max="8" width="9.140625" style="1" customWidth="1"/>
    <col min="9" max="9" width="14.28515625" style="3" customWidth="1"/>
    <col min="10" max="10" width="13.28515625" customWidth="1"/>
    <col min="11" max="11" width="15.7109375" customWidth="1"/>
    <col min="12" max="12" width="24.7109375" customWidth="1"/>
    <col min="14" max="14" width="19.42578125" customWidth="1"/>
  </cols>
  <sheetData>
    <row r="1" spans="1:14" x14ac:dyDescent="0.25">
      <c r="A1" s="4" t="s">
        <v>593</v>
      </c>
      <c r="B1" s="4" t="s">
        <v>594</v>
      </c>
      <c r="C1" s="4" t="s">
        <v>595</v>
      </c>
      <c r="D1" s="4" t="s">
        <v>0</v>
      </c>
      <c r="E1" s="4" t="s">
        <v>1</v>
      </c>
      <c r="F1" s="4" t="s">
        <v>596</v>
      </c>
      <c r="G1" s="4" t="s">
        <v>597</v>
      </c>
      <c r="H1" s="4" t="s">
        <v>598</v>
      </c>
      <c r="I1" s="5" t="s">
        <v>2</v>
      </c>
      <c r="J1" s="4" t="s">
        <v>3</v>
      </c>
      <c r="K1" s="4" t="s">
        <v>4</v>
      </c>
      <c r="L1" s="4" t="s">
        <v>5</v>
      </c>
    </row>
    <row r="2" spans="1:14" x14ac:dyDescent="0.25">
      <c r="A2" t="s">
        <v>42</v>
      </c>
      <c r="B2" t="s">
        <v>322</v>
      </c>
      <c r="C2">
        <v>948824283</v>
      </c>
      <c r="D2">
        <v>9990000</v>
      </c>
      <c r="E2" s="1">
        <v>2</v>
      </c>
      <c r="F2" s="1">
        <f t="shared" ref="F2:F65" si="0">(E2)*(D2)</f>
        <v>19980000</v>
      </c>
      <c r="G2" s="1">
        <f t="shared" ref="G2:G65" si="1">MONTH(I2)</f>
        <v>12</v>
      </c>
      <c r="H2" s="1">
        <f t="shared" ref="H2:H65" si="2">WEEKNUM(I2)</f>
        <v>52</v>
      </c>
      <c r="I2" s="3">
        <v>45653</v>
      </c>
      <c r="J2" t="s">
        <v>11</v>
      </c>
      <c r="K2" t="s">
        <v>14</v>
      </c>
      <c r="L2" t="s">
        <v>17</v>
      </c>
    </row>
    <row r="3" spans="1:14" x14ac:dyDescent="0.25">
      <c r="A3" t="s">
        <v>43</v>
      </c>
      <c r="B3" t="s">
        <v>323</v>
      </c>
      <c r="C3">
        <v>930261159</v>
      </c>
      <c r="D3">
        <v>350000</v>
      </c>
      <c r="E3" s="1">
        <v>4</v>
      </c>
      <c r="F3" s="1">
        <f t="shared" si="0"/>
        <v>1400000</v>
      </c>
      <c r="G3" s="1">
        <f t="shared" si="1"/>
        <v>3</v>
      </c>
      <c r="H3" s="1">
        <f t="shared" si="2"/>
        <v>11</v>
      </c>
      <c r="I3" s="3">
        <v>45363</v>
      </c>
      <c r="J3" t="s">
        <v>12</v>
      </c>
      <c r="K3" t="s">
        <v>15</v>
      </c>
      <c r="L3" t="s">
        <v>18</v>
      </c>
      <c r="N3" t="s">
        <v>603</v>
      </c>
    </row>
    <row r="4" spans="1:14" x14ac:dyDescent="0.25">
      <c r="A4" t="s">
        <v>44</v>
      </c>
      <c r="B4" t="s">
        <v>324</v>
      </c>
      <c r="C4">
        <v>930456313</v>
      </c>
      <c r="D4">
        <v>18990000</v>
      </c>
      <c r="E4" s="1" t="s">
        <v>6</v>
      </c>
      <c r="F4" s="1">
        <f t="shared" si="0"/>
        <v>37980000</v>
      </c>
      <c r="G4" s="1">
        <f t="shared" si="1"/>
        <v>12</v>
      </c>
      <c r="H4" s="1">
        <f t="shared" si="2"/>
        <v>50</v>
      </c>
      <c r="I4" s="3">
        <v>45637</v>
      </c>
      <c r="J4" t="s">
        <v>12</v>
      </c>
      <c r="K4" t="s">
        <v>14</v>
      </c>
      <c r="L4" t="s">
        <v>19</v>
      </c>
      <c r="N4">
        <f>SUM(Table2[Doanh thu])</f>
        <v>4291660000</v>
      </c>
    </row>
    <row r="5" spans="1:14" x14ac:dyDescent="0.25">
      <c r="A5" t="s">
        <v>45</v>
      </c>
      <c r="B5" t="s">
        <v>325</v>
      </c>
      <c r="C5">
        <v>942868828</v>
      </c>
      <c r="D5">
        <v>9990000</v>
      </c>
      <c r="E5" s="1" t="s">
        <v>8</v>
      </c>
      <c r="F5" s="1">
        <f t="shared" si="0"/>
        <v>9990000</v>
      </c>
      <c r="G5" s="1">
        <f t="shared" si="1"/>
        <v>12</v>
      </c>
      <c r="H5" s="1">
        <f t="shared" si="2"/>
        <v>49</v>
      </c>
      <c r="I5" s="3">
        <v>45631</v>
      </c>
      <c r="J5" t="s">
        <v>11</v>
      </c>
      <c r="K5" t="s">
        <v>14</v>
      </c>
      <c r="L5" t="s">
        <v>17</v>
      </c>
      <c r="N5" t="s">
        <v>604</v>
      </c>
    </row>
    <row r="6" spans="1:14" x14ac:dyDescent="0.25">
      <c r="A6" t="s">
        <v>46</v>
      </c>
      <c r="B6" t="s">
        <v>326</v>
      </c>
      <c r="C6">
        <v>955540424</v>
      </c>
      <c r="D6">
        <v>18990000</v>
      </c>
      <c r="E6" s="1" t="s">
        <v>8</v>
      </c>
      <c r="F6" s="1">
        <f t="shared" si="0"/>
        <v>18990000</v>
      </c>
      <c r="G6" s="1">
        <f t="shared" si="1"/>
        <v>12</v>
      </c>
      <c r="H6" s="1">
        <f t="shared" si="2"/>
        <v>50</v>
      </c>
      <c r="I6" s="3">
        <v>45634</v>
      </c>
      <c r="J6" t="s">
        <v>12</v>
      </c>
      <c r="K6" t="s">
        <v>14</v>
      </c>
      <c r="L6" t="s">
        <v>20</v>
      </c>
      <c r="N6">
        <f>COUNTA(Table2[Mã đơn])</f>
        <v>280</v>
      </c>
    </row>
    <row r="7" spans="1:14" x14ac:dyDescent="0.25">
      <c r="A7" t="s">
        <v>47</v>
      </c>
      <c r="B7" t="s">
        <v>327</v>
      </c>
      <c r="C7">
        <v>986230551</v>
      </c>
      <c r="D7">
        <v>80000</v>
      </c>
      <c r="E7" s="1">
        <v>3</v>
      </c>
      <c r="F7" s="1">
        <f t="shared" si="0"/>
        <v>240000</v>
      </c>
      <c r="G7" s="1">
        <f t="shared" si="1"/>
        <v>4</v>
      </c>
      <c r="H7" s="1">
        <f t="shared" si="2"/>
        <v>15</v>
      </c>
      <c r="I7" s="3">
        <v>45394</v>
      </c>
      <c r="J7" t="s">
        <v>11</v>
      </c>
      <c r="K7" t="s">
        <v>15</v>
      </c>
      <c r="L7" t="s">
        <v>21</v>
      </c>
      <c r="N7" t="s">
        <v>605</v>
      </c>
    </row>
    <row r="8" spans="1:14" x14ac:dyDescent="0.25">
      <c r="A8" t="s">
        <v>48</v>
      </c>
      <c r="B8" t="s">
        <v>328</v>
      </c>
      <c r="C8">
        <v>916323852</v>
      </c>
      <c r="D8">
        <v>18990000</v>
      </c>
      <c r="E8" s="1" t="s">
        <v>8</v>
      </c>
      <c r="F8" s="1">
        <f t="shared" si="0"/>
        <v>18990000</v>
      </c>
      <c r="G8" s="1">
        <f t="shared" si="1"/>
        <v>12</v>
      </c>
      <c r="H8" s="1">
        <f t="shared" si="2"/>
        <v>49</v>
      </c>
      <c r="I8" s="3">
        <v>45631</v>
      </c>
      <c r="J8" t="s">
        <v>13</v>
      </c>
      <c r="K8" t="s">
        <v>14</v>
      </c>
      <c r="L8" t="s">
        <v>20</v>
      </c>
      <c r="N8">
        <f>(N4)/(N6)</f>
        <v>15327357.142857144</v>
      </c>
    </row>
    <row r="9" spans="1:14" x14ac:dyDescent="0.25">
      <c r="A9" t="s">
        <v>49</v>
      </c>
      <c r="B9" t="s">
        <v>329</v>
      </c>
      <c r="C9">
        <v>981286543</v>
      </c>
      <c r="D9">
        <v>15990000</v>
      </c>
      <c r="E9" s="1">
        <v>1</v>
      </c>
      <c r="F9" s="1">
        <f t="shared" si="0"/>
        <v>15990000</v>
      </c>
      <c r="G9" s="1">
        <f t="shared" si="1"/>
        <v>12</v>
      </c>
      <c r="H9" s="1">
        <f t="shared" si="2"/>
        <v>49</v>
      </c>
      <c r="I9" s="3">
        <v>45628</v>
      </c>
      <c r="J9" t="s">
        <v>13</v>
      </c>
      <c r="K9" t="s">
        <v>14</v>
      </c>
      <c r="L9" t="s">
        <v>22</v>
      </c>
    </row>
    <row r="10" spans="1:14" x14ac:dyDescent="0.25">
      <c r="A10" t="s">
        <v>50</v>
      </c>
      <c r="B10" t="s">
        <v>330</v>
      </c>
      <c r="C10">
        <v>936619372</v>
      </c>
      <c r="D10">
        <v>28990000</v>
      </c>
      <c r="E10" s="1">
        <v>1</v>
      </c>
      <c r="F10" s="1">
        <f t="shared" si="0"/>
        <v>28990000</v>
      </c>
      <c r="G10" s="1">
        <f t="shared" si="1"/>
        <v>12</v>
      </c>
      <c r="H10" s="1">
        <f t="shared" si="2"/>
        <v>51</v>
      </c>
      <c r="I10" s="3">
        <v>45645</v>
      </c>
      <c r="J10" t="s">
        <v>12</v>
      </c>
      <c r="K10" t="s">
        <v>14</v>
      </c>
      <c r="L10" t="s">
        <v>23</v>
      </c>
    </row>
    <row r="11" spans="1:14" x14ac:dyDescent="0.25">
      <c r="A11" t="s">
        <v>51</v>
      </c>
      <c r="B11" t="s">
        <v>331</v>
      </c>
      <c r="C11">
        <v>918593410</v>
      </c>
      <c r="D11">
        <v>18490000</v>
      </c>
      <c r="E11" s="1" t="s">
        <v>8</v>
      </c>
      <c r="F11" s="1">
        <f t="shared" si="0"/>
        <v>18490000</v>
      </c>
      <c r="G11" s="1">
        <f t="shared" si="1"/>
        <v>12</v>
      </c>
      <c r="H11" s="1">
        <f t="shared" si="2"/>
        <v>49</v>
      </c>
      <c r="I11" s="3">
        <v>45627</v>
      </c>
      <c r="J11" t="s">
        <v>13</v>
      </c>
      <c r="K11" t="s">
        <v>16</v>
      </c>
      <c r="L11" t="s">
        <v>24</v>
      </c>
    </row>
    <row r="12" spans="1:14" x14ac:dyDescent="0.25">
      <c r="A12" t="s">
        <v>52</v>
      </c>
      <c r="B12" t="s">
        <v>332</v>
      </c>
      <c r="C12">
        <v>942100652</v>
      </c>
      <c r="D12">
        <v>12500000</v>
      </c>
      <c r="E12" s="1">
        <v>1</v>
      </c>
      <c r="F12" s="1">
        <f t="shared" si="0"/>
        <v>12500000</v>
      </c>
      <c r="G12" s="1">
        <f t="shared" si="1"/>
        <v>12</v>
      </c>
      <c r="H12" s="1">
        <f t="shared" si="2"/>
        <v>53</v>
      </c>
      <c r="I12" s="3">
        <v>45657</v>
      </c>
      <c r="J12" t="s">
        <v>11</v>
      </c>
      <c r="K12" t="s">
        <v>16</v>
      </c>
      <c r="L12" t="s">
        <v>25</v>
      </c>
    </row>
    <row r="13" spans="1:14" x14ac:dyDescent="0.25">
      <c r="A13" t="s">
        <v>53</v>
      </c>
      <c r="B13" t="s">
        <v>333</v>
      </c>
      <c r="C13">
        <v>993446356</v>
      </c>
      <c r="D13">
        <v>80000</v>
      </c>
      <c r="E13" s="1">
        <v>5</v>
      </c>
      <c r="F13" s="1">
        <f t="shared" si="0"/>
        <v>400000</v>
      </c>
      <c r="G13" s="1">
        <f t="shared" si="1"/>
        <v>12</v>
      </c>
      <c r="H13" s="1">
        <f t="shared" si="2"/>
        <v>52</v>
      </c>
      <c r="I13" s="3">
        <v>45648</v>
      </c>
      <c r="J13" t="s">
        <v>11</v>
      </c>
      <c r="K13" t="s">
        <v>15</v>
      </c>
      <c r="L13" t="s">
        <v>21</v>
      </c>
    </row>
    <row r="14" spans="1:14" x14ac:dyDescent="0.25">
      <c r="A14" t="s">
        <v>54</v>
      </c>
      <c r="B14" t="s">
        <v>334</v>
      </c>
      <c r="C14">
        <v>932321899</v>
      </c>
      <c r="D14">
        <v>8900000</v>
      </c>
      <c r="E14" s="1">
        <v>1</v>
      </c>
      <c r="F14" s="1">
        <f t="shared" si="0"/>
        <v>8900000</v>
      </c>
      <c r="G14" s="1">
        <f t="shared" si="1"/>
        <v>12</v>
      </c>
      <c r="H14" s="1">
        <f t="shared" si="2"/>
        <v>51</v>
      </c>
      <c r="I14" s="3">
        <v>45642</v>
      </c>
      <c r="J14" t="s">
        <v>13</v>
      </c>
      <c r="K14" t="s">
        <v>16</v>
      </c>
      <c r="L14" t="s">
        <v>26</v>
      </c>
    </row>
    <row r="15" spans="1:14" x14ac:dyDescent="0.25">
      <c r="A15" t="s">
        <v>55</v>
      </c>
      <c r="B15" t="s">
        <v>329</v>
      </c>
      <c r="C15">
        <v>999541016</v>
      </c>
      <c r="D15">
        <v>12500000</v>
      </c>
      <c r="E15" s="1" t="s">
        <v>6</v>
      </c>
      <c r="F15" s="1">
        <f t="shared" si="0"/>
        <v>25000000</v>
      </c>
      <c r="G15" s="1">
        <f t="shared" si="1"/>
        <v>12</v>
      </c>
      <c r="H15" s="1">
        <f t="shared" si="2"/>
        <v>49</v>
      </c>
      <c r="I15" s="3">
        <v>45628</v>
      </c>
      <c r="J15" t="s">
        <v>13</v>
      </c>
      <c r="K15" t="s">
        <v>16</v>
      </c>
      <c r="L15" t="s">
        <v>25</v>
      </c>
    </row>
    <row r="16" spans="1:14" x14ac:dyDescent="0.25">
      <c r="A16" t="s">
        <v>56</v>
      </c>
      <c r="B16" t="s">
        <v>335</v>
      </c>
      <c r="C16">
        <v>972270726</v>
      </c>
      <c r="D16">
        <v>190000</v>
      </c>
      <c r="E16" s="1" t="s">
        <v>7</v>
      </c>
      <c r="F16" s="1">
        <f t="shared" si="0"/>
        <v>760000</v>
      </c>
      <c r="G16" s="1">
        <f t="shared" si="1"/>
        <v>12</v>
      </c>
      <c r="H16" s="1">
        <f t="shared" si="2"/>
        <v>51</v>
      </c>
      <c r="I16" s="3">
        <v>45645</v>
      </c>
      <c r="J16" t="s">
        <v>11</v>
      </c>
      <c r="K16" t="s">
        <v>15</v>
      </c>
      <c r="L16" t="s">
        <v>27</v>
      </c>
    </row>
    <row r="17" spans="1:12" x14ac:dyDescent="0.25">
      <c r="A17" t="s">
        <v>57</v>
      </c>
      <c r="B17" t="s">
        <v>336</v>
      </c>
      <c r="C17">
        <v>939587039</v>
      </c>
      <c r="D17">
        <v>350000</v>
      </c>
      <c r="E17" s="1">
        <v>1</v>
      </c>
      <c r="F17" s="1">
        <f t="shared" si="0"/>
        <v>350000</v>
      </c>
      <c r="G17" s="1">
        <f t="shared" si="1"/>
        <v>12</v>
      </c>
      <c r="H17" s="1">
        <f t="shared" si="2"/>
        <v>51</v>
      </c>
      <c r="I17" s="3">
        <v>45645</v>
      </c>
      <c r="J17" t="s">
        <v>12</v>
      </c>
      <c r="K17" t="s">
        <v>15</v>
      </c>
      <c r="L17" t="s">
        <v>18</v>
      </c>
    </row>
    <row r="18" spans="1:12" x14ac:dyDescent="0.25">
      <c r="A18" t="s">
        <v>58</v>
      </c>
      <c r="B18" t="s">
        <v>337</v>
      </c>
      <c r="C18">
        <v>977172238</v>
      </c>
      <c r="D18">
        <v>450000</v>
      </c>
      <c r="E18" s="1" t="s">
        <v>8</v>
      </c>
      <c r="F18" s="1">
        <f t="shared" si="0"/>
        <v>450000</v>
      </c>
      <c r="G18" s="1">
        <f t="shared" si="1"/>
        <v>12</v>
      </c>
      <c r="H18" s="1">
        <f t="shared" si="2"/>
        <v>51</v>
      </c>
      <c r="I18" s="3">
        <v>45642</v>
      </c>
      <c r="J18" t="s">
        <v>12</v>
      </c>
      <c r="K18" t="s">
        <v>15</v>
      </c>
      <c r="L18" t="s">
        <v>28</v>
      </c>
    </row>
    <row r="19" spans="1:12" x14ac:dyDescent="0.25">
      <c r="A19" t="s">
        <v>59</v>
      </c>
      <c r="B19" t="s">
        <v>338</v>
      </c>
      <c r="C19">
        <v>919183277</v>
      </c>
      <c r="D19">
        <v>9990000</v>
      </c>
      <c r="E19" s="1">
        <v>2</v>
      </c>
      <c r="F19" s="1">
        <f t="shared" si="0"/>
        <v>19980000</v>
      </c>
      <c r="G19" s="1">
        <f t="shared" si="1"/>
        <v>12</v>
      </c>
      <c r="H19" s="1">
        <f t="shared" si="2"/>
        <v>51</v>
      </c>
      <c r="I19" s="3">
        <v>45647</v>
      </c>
      <c r="J19" t="s">
        <v>12</v>
      </c>
      <c r="K19" t="s">
        <v>14</v>
      </c>
      <c r="L19" t="s">
        <v>17</v>
      </c>
    </row>
    <row r="20" spans="1:12" x14ac:dyDescent="0.25">
      <c r="A20" t="s">
        <v>60</v>
      </c>
      <c r="B20" t="s">
        <v>339</v>
      </c>
      <c r="C20">
        <v>910344303</v>
      </c>
      <c r="D20">
        <v>12500000</v>
      </c>
      <c r="E20" s="1">
        <v>2</v>
      </c>
      <c r="F20" s="1">
        <f t="shared" si="0"/>
        <v>25000000</v>
      </c>
      <c r="G20" s="1">
        <f t="shared" si="1"/>
        <v>12</v>
      </c>
      <c r="H20" s="1">
        <f t="shared" si="2"/>
        <v>52</v>
      </c>
      <c r="I20" s="3">
        <v>45650</v>
      </c>
      <c r="J20" t="s">
        <v>12</v>
      </c>
      <c r="K20" t="s">
        <v>16</v>
      </c>
      <c r="L20" t="s">
        <v>25</v>
      </c>
    </row>
    <row r="21" spans="1:12" x14ac:dyDescent="0.25">
      <c r="A21" t="s">
        <v>61</v>
      </c>
      <c r="B21" t="s">
        <v>340</v>
      </c>
      <c r="C21">
        <v>923335151</v>
      </c>
      <c r="D21">
        <v>2990000</v>
      </c>
      <c r="E21" s="1">
        <v>3</v>
      </c>
      <c r="F21" s="1">
        <f t="shared" si="0"/>
        <v>8970000</v>
      </c>
      <c r="G21" s="1">
        <f t="shared" si="1"/>
        <v>12</v>
      </c>
      <c r="H21" s="1">
        <f t="shared" si="2"/>
        <v>50</v>
      </c>
      <c r="I21" s="3">
        <v>45638</v>
      </c>
      <c r="J21" t="s">
        <v>13</v>
      </c>
      <c r="K21" t="s">
        <v>15</v>
      </c>
      <c r="L21" t="s">
        <v>29</v>
      </c>
    </row>
    <row r="22" spans="1:12" x14ac:dyDescent="0.25">
      <c r="A22" t="s">
        <v>62</v>
      </c>
      <c r="B22" t="s">
        <v>341</v>
      </c>
      <c r="C22">
        <v>978248169</v>
      </c>
      <c r="D22">
        <v>9990000</v>
      </c>
      <c r="E22" s="1">
        <v>2</v>
      </c>
      <c r="F22" s="1">
        <f t="shared" si="0"/>
        <v>19980000</v>
      </c>
      <c r="G22" s="1">
        <f t="shared" si="1"/>
        <v>1</v>
      </c>
      <c r="H22" s="1">
        <f t="shared" si="2"/>
        <v>2</v>
      </c>
      <c r="I22" s="3">
        <v>45303</v>
      </c>
      <c r="J22" t="s">
        <v>12</v>
      </c>
      <c r="K22" t="s">
        <v>16</v>
      </c>
      <c r="L22" t="s">
        <v>30</v>
      </c>
    </row>
    <row r="23" spans="1:12" x14ac:dyDescent="0.25">
      <c r="A23" t="s">
        <v>63</v>
      </c>
      <c r="B23" t="s">
        <v>342</v>
      </c>
      <c r="C23">
        <v>984252420</v>
      </c>
      <c r="D23">
        <v>25990000</v>
      </c>
      <c r="E23" s="1" t="s">
        <v>8</v>
      </c>
      <c r="F23" s="1">
        <f t="shared" si="0"/>
        <v>25990000</v>
      </c>
      <c r="G23" s="1">
        <f t="shared" si="1"/>
        <v>9</v>
      </c>
      <c r="H23" s="1">
        <f t="shared" si="2"/>
        <v>37</v>
      </c>
      <c r="I23" s="3">
        <v>45547</v>
      </c>
      <c r="J23" t="s">
        <v>11</v>
      </c>
      <c r="K23" t="s">
        <v>14</v>
      </c>
      <c r="L23" t="s">
        <v>31</v>
      </c>
    </row>
    <row r="24" spans="1:12" x14ac:dyDescent="0.25">
      <c r="A24" t="s">
        <v>64</v>
      </c>
      <c r="B24" t="s">
        <v>343</v>
      </c>
      <c r="C24">
        <v>926587799</v>
      </c>
      <c r="D24">
        <v>350000</v>
      </c>
      <c r="E24" s="1" t="s">
        <v>9</v>
      </c>
      <c r="F24" s="1">
        <f t="shared" si="0"/>
        <v>1050000</v>
      </c>
      <c r="G24" s="1">
        <f t="shared" si="1"/>
        <v>12</v>
      </c>
      <c r="H24" s="1">
        <f t="shared" si="2"/>
        <v>50</v>
      </c>
      <c r="I24" s="3">
        <v>45638</v>
      </c>
      <c r="J24" t="s">
        <v>11</v>
      </c>
      <c r="K24" t="s">
        <v>15</v>
      </c>
      <c r="L24" t="s">
        <v>18</v>
      </c>
    </row>
    <row r="25" spans="1:12" x14ac:dyDescent="0.25">
      <c r="A25" t="s">
        <v>65</v>
      </c>
      <c r="B25" t="s">
        <v>344</v>
      </c>
      <c r="C25">
        <v>950237208</v>
      </c>
      <c r="D25">
        <v>150000</v>
      </c>
      <c r="E25" s="1">
        <v>3</v>
      </c>
      <c r="F25" s="1">
        <f t="shared" si="0"/>
        <v>450000</v>
      </c>
      <c r="G25" s="1">
        <f t="shared" si="1"/>
        <v>12</v>
      </c>
      <c r="H25" s="1">
        <f t="shared" si="2"/>
        <v>52</v>
      </c>
      <c r="I25" s="3">
        <v>45653</v>
      </c>
      <c r="J25" t="s">
        <v>12</v>
      </c>
      <c r="K25" t="s">
        <v>15</v>
      </c>
      <c r="L25" t="s">
        <v>32</v>
      </c>
    </row>
    <row r="26" spans="1:12" x14ac:dyDescent="0.25">
      <c r="A26" t="s">
        <v>66</v>
      </c>
      <c r="B26" t="s">
        <v>345</v>
      </c>
      <c r="C26">
        <v>928453800</v>
      </c>
      <c r="D26">
        <v>3990000</v>
      </c>
      <c r="E26" s="1">
        <v>2</v>
      </c>
      <c r="F26" s="1">
        <f t="shared" si="0"/>
        <v>7980000</v>
      </c>
      <c r="G26" s="1">
        <f t="shared" si="1"/>
        <v>12</v>
      </c>
      <c r="H26" s="1">
        <f t="shared" si="2"/>
        <v>50</v>
      </c>
      <c r="I26" s="3">
        <v>45634</v>
      </c>
      <c r="J26" t="s">
        <v>12</v>
      </c>
      <c r="K26" t="s">
        <v>15</v>
      </c>
      <c r="L26" t="s">
        <v>33</v>
      </c>
    </row>
    <row r="27" spans="1:12" x14ac:dyDescent="0.25">
      <c r="A27" t="s">
        <v>67</v>
      </c>
      <c r="B27" t="s">
        <v>346</v>
      </c>
      <c r="C27">
        <v>976890827</v>
      </c>
      <c r="D27">
        <v>5290000</v>
      </c>
      <c r="E27" s="1">
        <v>3</v>
      </c>
      <c r="F27" s="1">
        <f t="shared" si="0"/>
        <v>15870000</v>
      </c>
      <c r="G27" s="1">
        <f t="shared" si="1"/>
        <v>12</v>
      </c>
      <c r="H27" s="1">
        <f t="shared" si="2"/>
        <v>50</v>
      </c>
      <c r="I27" s="3">
        <v>45636</v>
      </c>
      <c r="J27" t="s">
        <v>12</v>
      </c>
      <c r="K27" t="s">
        <v>15</v>
      </c>
      <c r="L27" t="s">
        <v>34</v>
      </c>
    </row>
    <row r="28" spans="1:12" x14ac:dyDescent="0.25">
      <c r="A28" t="s">
        <v>68</v>
      </c>
      <c r="B28" t="s">
        <v>347</v>
      </c>
      <c r="C28">
        <v>910380581</v>
      </c>
      <c r="D28">
        <v>6990000</v>
      </c>
      <c r="E28" s="1" t="s">
        <v>8</v>
      </c>
      <c r="F28" s="1">
        <f t="shared" si="0"/>
        <v>6990000</v>
      </c>
      <c r="G28" s="1">
        <f t="shared" si="1"/>
        <v>12</v>
      </c>
      <c r="H28" s="1">
        <f t="shared" si="2"/>
        <v>52</v>
      </c>
      <c r="I28" s="3">
        <v>45654</v>
      </c>
      <c r="J28" t="s">
        <v>13</v>
      </c>
      <c r="K28" t="s">
        <v>14</v>
      </c>
      <c r="L28" t="s">
        <v>35</v>
      </c>
    </row>
    <row r="29" spans="1:12" x14ac:dyDescent="0.25">
      <c r="A29" t="s">
        <v>69</v>
      </c>
      <c r="B29" t="s">
        <v>348</v>
      </c>
      <c r="C29">
        <v>915529005</v>
      </c>
      <c r="D29">
        <v>12500000</v>
      </c>
      <c r="E29" s="1" t="s">
        <v>6</v>
      </c>
      <c r="F29" s="1">
        <f t="shared" si="0"/>
        <v>25000000</v>
      </c>
      <c r="G29" s="1">
        <f t="shared" si="1"/>
        <v>12</v>
      </c>
      <c r="H29" s="1">
        <f t="shared" si="2"/>
        <v>49</v>
      </c>
      <c r="I29" s="3">
        <v>45629</v>
      </c>
      <c r="J29" t="s">
        <v>11</v>
      </c>
      <c r="K29" t="s">
        <v>14</v>
      </c>
      <c r="L29" t="s">
        <v>36</v>
      </c>
    </row>
    <row r="30" spans="1:12" x14ac:dyDescent="0.25">
      <c r="A30" t="s">
        <v>70</v>
      </c>
      <c r="B30" t="s">
        <v>349</v>
      </c>
      <c r="C30">
        <v>951954112</v>
      </c>
      <c r="D30">
        <v>5290000</v>
      </c>
      <c r="E30" s="1">
        <v>3</v>
      </c>
      <c r="F30" s="1">
        <f t="shared" si="0"/>
        <v>15870000</v>
      </c>
      <c r="G30" s="1">
        <f t="shared" si="1"/>
        <v>12</v>
      </c>
      <c r="H30" s="1">
        <f t="shared" si="2"/>
        <v>50</v>
      </c>
      <c r="I30" s="3">
        <v>45637</v>
      </c>
      <c r="J30" t="s">
        <v>12</v>
      </c>
      <c r="K30" t="s">
        <v>15</v>
      </c>
      <c r="L30" t="s">
        <v>34</v>
      </c>
    </row>
    <row r="31" spans="1:12" x14ac:dyDescent="0.25">
      <c r="A31" t="s">
        <v>71</v>
      </c>
      <c r="B31" t="s">
        <v>350</v>
      </c>
      <c r="C31">
        <v>927463800</v>
      </c>
      <c r="D31">
        <v>450000</v>
      </c>
      <c r="E31" s="1" t="s">
        <v>10</v>
      </c>
      <c r="F31" s="1">
        <f t="shared" si="0"/>
        <v>2250000</v>
      </c>
      <c r="G31" s="1">
        <f t="shared" si="1"/>
        <v>12</v>
      </c>
      <c r="H31" s="1">
        <f t="shared" si="2"/>
        <v>49</v>
      </c>
      <c r="I31" s="3">
        <v>45628</v>
      </c>
      <c r="J31" t="s">
        <v>13</v>
      </c>
      <c r="K31" t="s">
        <v>15</v>
      </c>
      <c r="L31" t="s">
        <v>28</v>
      </c>
    </row>
    <row r="32" spans="1:12" x14ac:dyDescent="0.25">
      <c r="A32" t="s">
        <v>72</v>
      </c>
      <c r="B32" t="s">
        <v>351</v>
      </c>
      <c r="C32">
        <v>945843681</v>
      </c>
      <c r="D32">
        <v>450000</v>
      </c>
      <c r="E32" s="1" t="s">
        <v>7</v>
      </c>
      <c r="F32" s="1">
        <f t="shared" si="0"/>
        <v>1800000</v>
      </c>
      <c r="G32" s="1">
        <f t="shared" si="1"/>
        <v>5</v>
      </c>
      <c r="H32" s="1">
        <f t="shared" si="2"/>
        <v>20</v>
      </c>
      <c r="I32" s="3">
        <v>45424</v>
      </c>
      <c r="J32" t="s">
        <v>13</v>
      </c>
      <c r="K32" t="s">
        <v>15</v>
      </c>
      <c r="L32" t="s">
        <v>28</v>
      </c>
    </row>
    <row r="33" spans="1:12" x14ac:dyDescent="0.25">
      <c r="A33" t="s">
        <v>73</v>
      </c>
      <c r="B33" t="s">
        <v>352</v>
      </c>
      <c r="C33">
        <v>997971488</v>
      </c>
      <c r="D33">
        <v>150000</v>
      </c>
      <c r="E33" s="1">
        <v>4</v>
      </c>
      <c r="F33" s="1">
        <f t="shared" si="0"/>
        <v>600000</v>
      </c>
      <c r="G33" s="1">
        <f t="shared" si="1"/>
        <v>12</v>
      </c>
      <c r="H33" s="1">
        <f t="shared" si="2"/>
        <v>50</v>
      </c>
      <c r="I33" s="3">
        <v>45639</v>
      </c>
      <c r="J33" t="s">
        <v>13</v>
      </c>
      <c r="K33" t="s">
        <v>15</v>
      </c>
      <c r="L33" t="s">
        <v>32</v>
      </c>
    </row>
    <row r="34" spans="1:12" x14ac:dyDescent="0.25">
      <c r="A34" t="s">
        <v>74</v>
      </c>
      <c r="B34" t="s">
        <v>353</v>
      </c>
      <c r="C34">
        <v>965910756</v>
      </c>
      <c r="D34">
        <v>15990000</v>
      </c>
      <c r="E34" s="1" t="s">
        <v>8</v>
      </c>
      <c r="F34" s="1">
        <f t="shared" si="0"/>
        <v>15990000</v>
      </c>
      <c r="G34" s="1">
        <f t="shared" si="1"/>
        <v>12</v>
      </c>
      <c r="H34" s="1">
        <f t="shared" si="2"/>
        <v>52</v>
      </c>
      <c r="I34" s="3">
        <v>45648</v>
      </c>
      <c r="J34" t="s">
        <v>13</v>
      </c>
      <c r="K34" t="s">
        <v>14</v>
      </c>
      <c r="L34" t="s">
        <v>22</v>
      </c>
    </row>
    <row r="35" spans="1:12" x14ac:dyDescent="0.25">
      <c r="A35" t="s">
        <v>75</v>
      </c>
      <c r="B35" t="s">
        <v>354</v>
      </c>
      <c r="C35">
        <v>972409658</v>
      </c>
      <c r="D35">
        <v>350000</v>
      </c>
      <c r="E35" s="1" t="s">
        <v>6</v>
      </c>
      <c r="F35" s="1">
        <f t="shared" si="0"/>
        <v>700000</v>
      </c>
      <c r="G35" s="1">
        <f t="shared" si="1"/>
        <v>12</v>
      </c>
      <c r="H35" s="1">
        <f t="shared" si="2"/>
        <v>51</v>
      </c>
      <c r="I35" s="3">
        <v>45641</v>
      </c>
      <c r="J35" t="s">
        <v>11</v>
      </c>
      <c r="K35" t="s">
        <v>15</v>
      </c>
      <c r="L35" t="s">
        <v>18</v>
      </c>
    </row>
    <row r="36" spans="1:12" x14ac:dyDescent="0.25">
      <c r="A36" t="s">
        <v>76</v>
      </c>
      <c r="B36" t="s">
        <v>355</v>
      </c>
      <c r="C36">
        <v>998955314</v>
      </c>
      <c r="D36">
        <v>18990000</v>
      </c>
      <c r="E36" s="1">
        <v>1</v>
      </c>
      <c r="F36" s="1">
        <f t="shared" si="0"/>
        <v>18990000</v>
      </c>
      <c r="G36" s="1">
        <f t="shared" si="1"/>
        <v>12</v>
      </c>
      <c r="H36" s="1">
        <f t="shared" si="2"/>
        <v>51</v>
      </c>
      <c r="I36" s="3">
        <v>45647</v>
      </c>
      <c r="J36" t="s">
        <v>13</v>
      </c>
      <c r="K36" t="s">
        <v>14</v>
      </c>
      <c r="L36" t="s">
        <v>19</v>
      </c>
    </row>
    <row r="37" spans="1:12" x14ac:dyDescent="0.25">
      <c r="A37" t="s">
        <v>77</v>
      </c>
      <c r="B37" t="s">
        <v>356</v>
      </c>
      <c r="C37">
        <v>939920292</v>
      </c>
      <c r="D37">
        <v>12500000</v>
      </c>
      <c r="E37" s="1">
        <v>2</v>
      </c>
      <c r="F37" s="1">
        <f t="shared" si="0"/>
        <v>25000000</v>
      </c>
      <c r="G37" s="1">
        <f t="shared" si="1"/>
        <v>12</v>
      </c>
      <c r="H37" s="1">
        <f t="shared" si="2"/>
        <v>52</v>
      </c>
      <c r="I37" s="3">
        <v>45648</v>
      </c>
      <c r="J37" t="s">
        <v>13</v>
      </c>
      <c r="K37" t="s">
        <v>14</v>
      </c>
      <c r="L37" t="s">
        <v>36</v>
      </c>
    </row>
    <row r="38" spans="1:12" x14ac:dyDescent="0.25">
      <c r="A38" t="s">
        <v>78</v>
      </c>
      <c r="B38" t="s">
        <v>357</v>
      </c>
      <c r="C38">
        <v>960473288</v>
      </c>
      <c r="D38">
        <v>6990000</v>
      </c>
      <c r="E38" s="1">
        <v>2</v>
      </c>
      <c r="F38" s="1">
        <f t="shared" si="0"/>
        <v>13980000</v>
      </c>
      <c r="G38" s="1">
        <f t="shared" si="1"/>
        <v>12</v>
      </c>
      <c r="H38" s="1">
        <f t="shared" si="2"/>
        <v>52</v>
      </c>
      <c r="I38" s="3">
        <v>45653</v>
      </c>
      <c r="J38" t="s">
        <v>13</v>
      </c>
      <c r="K38" t="s">
        <v>14</v>
      </c>
      <c r="L38" t="s">
        <v>35</v>
      </c>
    </row>
    <row r="39" spans="1:12" x14ac:dyDescent="0.25">
      <c r="A39" t="s">
        <v>79</v>
      </c>
      <c r="B39" t="s">
        <v>358</v>
      </c>
      <c r="C39">
        <v>992950779</v>
      </c>
      <c r="D39">
        <v>25990000</v>
      </c>
      <c r="E39" s="1">
        <v>1</v>
      </c>
      <c r="F39" s="1">
        <f t="shared" si="0"/>
        <v>25990000</v>
      </c>
      <c r="G39" s="1">
        <f t="shared" si="1"/>
        <v>12</v>
      </c>
      <c r="H39" s="1">
        <f t="shared" si="2"/>
        <v>51</v>
      </c>
      <c r="I39" s="3">
        <v>45646</v>
      </c>
      <c r="J39" t="s">
        <v>11</v>
      </c>
      <c r="K39" t="s">
        <v>14</v>
      </c>
      <c r="L39" t="s">
        <v>31</v>
      </c>
    </row>
    <row r="40" spans="1:12" x14ac:dyDescent="0.25">
      <c r="A40" t="s">
        <v>80</v>
      </c>
      <c r="B40" t="s">
        <v>359</v>
      </c>
      <c r="C40">
        <v>927129912</v>
      </c>
      <c r="D40">
        <v>80000</v>
      </c>
      <c r="E40" s="1" t="s">
        <v>7</v>
      </c>
      <c r="F40" s="1">
        <f t="shared" si="0"/>
        <v>320000</v>
      </c>
      <c r="G40" s="1">
        <f t="shared" si="1"/>
        <v>12</v>
      </c>
      <c r="H40" s="1">
        <f t="shared" si="2"/>
        <v>51</v>
      </c>
      <c r="I40" s="3">
        <v>45644</v>
      </c>
      <c r="J40" t="s">
        <v>13</v>
      </c>
      <c r="K40" t="s">
        <v>15</v>
      </c>
      <c r="L40" t="s">
        <v>21</v>
      </c>
    </row>
    <row r="41" spans="1:12" x14ac:dyDescent="0.25">
      <c r="A41" t="s">
        <v>81</v>
      </c>
      <c r="B41" t="s">
        <v>360</v>
      </c>
      <c r="C41">
        <v>970855700</v>
      </c>
      <c r="D41">
        <v>3990000</v>
      </c>
      <c r="E41" s="1">
        <v>2</v>
      </c>
      <c r="F41" s="1">
        <f t="shared" si="0"/>
        <v>7980000</v>
      </c>
      <c r="G41" s="1">
        <f t="shared" si="1"/>
        <v>12</v>
      </c>
      <c r="H41" s="1">
        <f t="shared" si="2"/>
        <v>52</v>
      </c>
      <c r="I41" s="3">
        <v>45653</v>
      </c>
      <c r="J41" t="s">
        <v>11</v>
      </c>
      <c r="K41" t="s">
        <v>15</v>
      </c>
      <c r="L41" t="s">
        <v>33</v>
      </c>
    </row>
    <row r="42" spans="1:12" x14ac:dyDescent="0.25">
      <c r="A42" t="s">
        <v>82</v>
      </c>
      <c r="B42" t="s">
        <v>361</v>
      </c>
      <c r="C42">
        <v>919233013</v>
      </c>
      <c r="D42">
        <v>9990000</v>
      </c>
      <c r="E42" s="1">
        <v>1</v>
      </c>
      <c r="F42" s="1">
        <f t="shared" si="0"/>
        <v>9990000</v>
      </c>
      <c r="G42" s="1">
        <f t="shared" si="1"/>
        <v>12</v>
      </c>
      <c r="H42" s="1">
        <f t="shared" si="2"/>
        <v>50</v>
      </c>
      <c r="I42" s="3">
        <v>45638</v>
      </c>
      <c r="J42" t="s">
        <v>11</v>
      </c>
      <c r="K42" t="s">
        <v>14</v>
      </c>
      <c r="L42" t="s">
        <v>17</v>
      </c>
    </row>
    <row r="43" spans="1:12" x14ac:dyDescent="0.25">
      <c r="A43" t="s">
        <v>83</v>
      </c>
      <c r="B43" t="s">
        <v>362</v>
      </c>
      <c r="C43">
        <v>981971316</v>
      </c>
      <c r="D43">
        <v>18990000</v>
      </c>
      <c r="E43" s="1" t="s">
        <v>8</v>
      </c>
      <c r="F43" s="1">
        <f t="shared" si="0"/>
        <v>18990000</v>
      </c>
      <c r="G43" s="1">
        <f t="shared" si="1"/>
        <v>12</v>
      </c>
      <c r="H43" s="1">
        <f t="shared" si="2"/>
        <v>53</v>
      </c>
      <c r="I43" s="3">
        <v>45656</v>
      </c>
      <c r="J43" t="s">
        <v>11</v>
      </c>
      <c r="K43" t="s">
        <v>14</v>
      </c>
      <c r="L43" t="s">
        <v>20</v>
      </c>
    </row>
    <row r="44" spans="1:12" x14ac:dyDescent="0.25">
      <c r="A44" t="s">
        <v>84</v>
      </c>
      <c r="B44" t="s">
        <v>363</v>
      </c>
      <c r="C44">
        <v>937133023</v>
      </c>
      <c r="D44">
        <v>280000</v>
      </c>
      <c r="E44" s="1">
        <v>2</v>
      </c>
      <c r="F44" s="1">
        <f t="shared" si="0"/>
        <v>560000</v>
      </c>
      <c r="G44" s="1">
        <f t="shared" si="1"/>
        <v>12</v>
      </c>
      <c r="H44" s="1">
        <f t="shared" si="2"/>
        <v>51</v>
      </c>
      <c r="I44" s="3">
        <v>45644</v>
      </c>
      <c r="J44" t="s">
        <v>12</v>
      </c>
      <c r="K44" t="s">
        <v>15</v>
      </c>
      <c r="L44" t="s">
        <v>37</v>
      </c>
    </row>
    <row r="45" spans="1:12" x14ac:dyDescent="0.25">
      <c r="A45" t="s">
        <v>85</v>
      </c>
      <c r="B45" t="s">
        <v>364</v>
      </c>
      <c r="C45">
        <v>967887757</v>
      </c>
      <c r="D45">
        <v>28990000</v>
      </c>
      <c r="E45" s="1" t="s">
        <v>6</v>
      </c>
      <c r="F45" s="1">
        <f t="shared" si="0"/>
        <v>57980000</v>
      </c>
      <c r="G45" s="1">
        <f t="shared" si="1"/>
        <v>12</v>
      </c>
      <c r="H45" s="1">
        <f t="shared" si="2"/>
        <v>53</v>
      </c>
      <c r="I45" s="3">
        <v>45657</v>
      </c>
      <c r="J45" t="s">
        <v>13</v>
      </c>
      <c r="K45" t="s">
        <v>14</v>
      </c>
      <c r="L45" t="s">
        <v>23</v>
      </c>
    </row>
    <row r="46" spans="1:12" x14ac:dyDescent="0.25">
      <c r="A46" t="s">
        <v>86</v>
      </c>
      <c r="B46" t="s">
        <v>365</v>
      </c>
      <c r="C46">
        <v>979182797</v>
      </c>
      <c r="D46">
        <v>2990000</v>
      </c>
      <c r="E46" s="1">
        <v>3</v>
      </c>
      <c r="F46" s="1">
        <f t="shared" si="0"/>
        <v>8970000</v>
      </c>
      <c r="G46" s="1">
        <f t="shared" si="1"/>
        <v>12</v>
      </c>
      <c r="H46" s="1">
        <f t="shared" si="2"/>
        <v>51</v>
      </c>
      <c r="I46" s="3">
        <v>45647</v>
      </c>
      <c r="J46" t="s">
        <v>13</v>
      </c>
      <c r="K46" t="s">
        <v>15</v>
      </c>
      <c r="L46" t="s">
        <v>29</v>
      </c>
    </row>
    <row r="47" spans="1:12" x14ac:dyDescent="0.25">
      <c r="A47" t="s">
        <v>87</v>
      </c>
      <c r="B47" t="s">
        <v>366</v>
      </c>
      <c r="C47">
        <v>914216175</v>
      </c>
      <c r="D47">
        <v>18490000</v>
      </c>
      <c r="E47" s="1">
        <v>1</v>
      </c>
      <c r="F47" s="1">
        <f t="shared" si="0"/>
        <v>18490000</v>
      </c>
      <c r="G47" s="1">
        <f t="shared" si="1"/>
        <v>12</v>
      </c>
      <c r="H47" s="1">
        <f t="shared" si="2"/>
        <v>49</v>
      </c>
      <c r="I47" s="3">
        <v>45629</v>
      </c>
      <c r="J47" t="s">
        <v>13</v>
      </c>
      <c r="K47" t="s">
        <v>16</v>
      </c>
      <c r="L47" t="s">
        <v>24</v>
      </c>
    </row>
    <row r="48" spans="1:12" x14ac:dyDescent="0.25">
      <c r="A48" t="s">
        <v>88</v>
      </c>
      <c r="B48" t="s">
        <v>367</v>
      </c>
      <c r="C48">
        <v>938933176</v>
      </c>
      <c r="D48">
        <v>190000</v>
      </c>
      <c r="E48" s="1">
        <v>3</v>
      </c>
      <c r="F48" s="1">
        <f t="shared" si="0"/>
        <v>570000</v>
      </c>
      <c r="G48" s="1">
        <f t="shared" si="1"/>
        <v>12</v>
      </c>
      <c r="H48" s="1">
        <f t="shared" si="2"/>
        <v>51</v>
      </c>
      <c r="I48" s="3">
        <v>45643</v>
      </c>
      <c r="J48" t="s">
        <v>11</v>
      </c>
      <c r="K48" t="s">
        <v>15</v>
      </c>
      <c r="L48" t="s">
        <v>27</v>
      </c>
    </row>
    <row r="49" spans="1:12" x14ac:dyDescent="0.25">
      <c r="A49" t="s">
        <v>89</v>
      </c>
      <c r="B49" t="s">
        <v>368</v>
      </c>
      <c r="C49">
        <v>959555330</v>
      </c>
      <c r="D49">
        <v>280000</v>
      </c>
      <c r="E49" s="1">
        <v>4</v>
      </c>
      <c r="F49" s="1">
        <f t="shared" si="0"/>
        <v>1120000</v>
      </c>
      <c r="G49" s="1">
        <f t="shared" si="1"/>
        <v>12</v>
      </c>
      <c r="H49" s="1">
        <f t="shared" si="2"/>
        <v>51</v>
      </c>
      <c r="I49" s="3">
        <v>45644</v>
      </c>
      <c r="J49" t="s">
        <v>12</v>
      </c>
      <c r="K49" t="s">
        <v>15</v>
      </c>
      <c r="L49" t="s">
        <v>37</v>
      </c>
    </row>
    <row r="50" spans="1:12" x14ac:dyDescent="0.25">
      <c r="A50" t="s">
        <v>90</v>
      </c>
      <c r="B50" t="s">
        <v>369</v>
      </c>
      <c r="C50">
        <v>967110154</v>
      </c>
      <c r="D50">
        <v>250000</v>
      </c>
      <c r="E50" s="1" t="s">
        <v>9</v>
      </c>
      <c r="F50" s="1">
        <f t="shared" si="0"/>
        <v>750000</v>
      </c>
      <c r="G50" s="1">
        <f t="shared" si="1"/>
        <v>12</v>
      </c>
      <c r="H50" s="1">
        <f t="shared" si="2"/>
        <v>51</v>
      </c>
      <c r="I50" s="3">
        <v>45644</v>
      </c>
      <c r="J50" t="s">
        <v>12</v>
      </c>
      <c r="K50" t="s">
        <v>15</v>
      </c>
      <c r="L50" t="s">
        <v>38</v>
      </c>
    </row>
    <row r="51" spans="1:12" x14ac:dyDescent="0.25">
      <c r="A51" t="s">
        <v>91</v>
      </c>
      <c r="B51" t="s">
        <v>370</v>
      </c>
      <c r="C51">
        <v>977215278</v>
      </c>
      <c r="D51">
        <v>250000</v>
      </c>
      <c r="E51" s="1">
        <v>1</v>
      </c>
      <c r="F51" s="1">
        <f t="shared" si="0"/>
        <v>250000</v>
      </c>
      <c r="G51" s="1">
        <f t="shared" si="1"/>
        <v>12</v>
      </c>
      <c r="H51" s="1">
        <f t="shared" si="2"/>
        <v>50</v>
      </c>
      <c r="I51" s="3">
        <v>45638</v>
      </c>
      <c r="J51" t="s">
        <v>13</v>
      </c>
      <c r="K51" t="s">
        <v>15</v>
      </c>
      <c r="L51" t="s">
        <v>38</v>
      </c>
    </row>
    <row r="52" spans="1:12" x14ac:dyDescent="0.25">
      <c r="A52" t="s">
        <v>92</v>
      </c>
      <c r="B52" t="s">
        <v>371</v>
      </c>
      <c r="C52">
        <v>969085720</v>
      </c>
      <c r="D52">
        <v>18490000</v>
      </c>
      <c r="E52" s="1">
        <v>1</v>
      </c>
      <c r="F52" s="1">
        <f t="shared" si="0"/>
        <v>18490000</v>
      </c>
      <c r="G52" s="1">
        <f t="shared" si="1"/>
        <v>12</v>
      </c>
      <c r="H52" s="1">
        <f t="shared" si="2"/>
        <v>50</v>
      </c>
      <c r="I52" s="3">
        <v>45640</v>
      </c>
      <c r="J52" t="s">
        <v>11</v>
      </c>
      <c r="K52" t="s">
        <v>16</v>
      </c>
      <c r="L52" t="s">
        <v>24</v>
      </c>
    </row>
    <row r="53" spans="1:12" x14ac:dyDescent="0.25">
      <c r="A53" t="s">
        <v>93</v>
      </c>
      <c r="B53" t="s">
        <v>372</v>
      </c>
      <c r="C53">
        <v>936246038</v>
      </c>
      <c r="D53">
        <v>350000</v>
      </c>
      <c r="E53" s="1">
        <v>3</v>
      </c>
      <c r="F53" s="1">
        <f t="shared" si="0"/>
        <v>1050000</v>
      </c>
      <c r="G53" s="1">
        <f t="shared" si="1"/>
        <v>12</v>
      </c>
      <c r="H53" s="1">
        <f t="shared" si="2"/>
        <v>49</v>
      </c>
      <c r="I53" s="3">
        <v>45630</v>
      </c>
      <c r="J53" t="s">
        <v>12</v>
      </c>
      <c r="K53" t="s">
        <v>15</v>
      </c>
      <c r="L53" t="s">
        <v>18</v>
      </c>
    </row>
    <row r="54" spans="1:12" x14ac:dyDescent="0.25">
      <c r="A54" t="s">
        <v>94</v>
      </c>
      <c r="B54" t="s">
        <v>373</v>
      </c>
      <c r="C54">
        <v>932566390</v>
      </c>
      <c r="D54">
        <v>28990000</v>
      </c>
      <c r="E54" s="1" t="s">
        <v>8</v>
      </c>
      <c r="F54" s="1">
        <f t="shared" si="0"/>
        <v>28990000</v>
      </c>
      <c r="G54" s="1">
        <f t="shared" si="1"/>
        <v>12</v>
      </c>
      <c r="H54" s="1">
        <f t="shared" si="2"/>
        <v>51</v>
      </c>
      <c r="I54" s="3">
        <v>45643</v>
      </c>
      <c r="J54" t="s">
        <v>12</v>
      </c>
      <c r="K54" t="s">
        <v>14</v>
      </c>
      <c r="L54" t="s">
        <v>23</v>
      </c>
    </row>
    <row r="55" spans="1:12" x14ac:dyDescent="0.25">
      <c r="A55" t="s">
        <v>95</v>
      </c>
      <c r="B55" t="s">
        <v>374</v>
      </c>
      <c r="C55">
        <v>967213476</v>
      </c>
      <c r="D55">
        <v>2990000</v>
      </c>
      <c r="E55" s="1">
        <v>4</v>
      </c>
      <c r="F55" s="1">
        <f t="shared" si="0"/>
        <v>11960000</v>
      </c>
      <c r="G55" s="1">
        <f t="shared" si="1"/>
        <v>4</v>
      </c>
      <c r="H55" s="1">
        <f t="shared" si="2"/>
        <v>15</v>
      </c>
      <c r="I55" s="3">
        <v>45394</v>
      </c>
      <c r="J55" t="s">
        <v>12</v>
      </c>
      <c r="K55" t="s">
        <v>15</v>
      </c>
      <c r="L55" t="s">
        <v>29</v>
      </c>
    </row>
    <row r="56" spans="1:12" x14ac:dyDescent="0.25">
      <c r="A56" t="s">
        <v>96</v>
      </c>
      <c r="B56" t="s">
        <v>375</v>
      </c>
      <c r="C56">
        <v>936096655</v>
      </c>
      <c r="D56">
        <v>5290000</v>
      </c>
      <c r="E56" s="1">
        <v>4</v>
      </c>
      <c r="F56" s="1">
        <f t="shared" si="0"/>
        <v>21160000</v>
      </c>
      <c r="G56" s="1">
        <f t="shared" si="1"/>
        <v>12</v>
      </c>
      <c r="H56" s="1">
        <f t="shared" si="2"/>
        <v>52</v>
      </c>
      <c r="I56" s="3">
        <v>45649</v>
      </c>
      <c r="J56" t="s">
        <v>11</v>
      </c>
      <c r="K56" t="s">
        <v>15</v>
      </c>
      <c r="L56" t="s">
        <v>34</v>
      </c>
    </row>
    <row r="57" spans="1:12" x14ac:dyDescent="0.25">
      <c r="A57" t="s">
        <v>97</v>
      </c>
      <c r="B57" t="s">
        <v>376</v>
      </c>
      <c r="C57">
        <v>995594482</v>
      </c>
      <c r="D57">
        <v>2990000</v>
      </c>
      <c r="E57" s="1" t="s">
        <v>7</v>
      </c>
      <c r="F57" s="1">
        <f t="shared" si="0"/>
        <v>11960000</v>
      </c>
      <c r="G57" s="1">
        <f t="shared" si="1"/>
        <v>12</v>
      </c>
      <c r="H57" s="1">
        <f t="shared" si="2"/>
        <v>53</v>
      </c>
      <c r="I57" s="3">
        <v>45656</v>
      </c>
      <c r="J57" t="s">
        <v>13</v>
      </c>
      <c r="K57" t="s">
        <v>15</v>
      </c>
      <c r="L57" t="s">
        <v>29</v>
      </c>
    </row>
    <row r="58" spans="1:12" x14ac:dyDescent="0.25">
      <c r="A58" t="s">
        <v>98</v>
      </c>
      <c r="B58" t="s">
        <v>377</v>
      </c>
      <c r="C58">
        <v>929777514</v>
      </c>
      <c r="D58">
        <v>12500000</v>
      </c>
      <c r="E58" s="1" t="s">
        <v>6</v>
      </c>
      <c r="F58" s="1">
        <f t="shared" si="0"/>
        <v>25000000</v>
      </c>
      <c r="G58" s="1">
        <f t="shared" si="1"/>
        <v>12</v>
      </c>
      <c r="H58" s="1">
        <f t="shared" si="2"/>
        <v>49</v>
      </c>
      <c r="I58" s="3">
        <v>45628</v>
      </c>
      <c r="J58" t="s">
        <v>13</v>
      </c>
      <c r="K58" t="s">
        <v>14</v>
      </c>
      <c r="L58" t="s">
        <v>36</v>
      </c>
    </row>
    <row r="59" spans="1:12" x14ac:dyDescent="0.25">
      <c r="A59" t="s">
        <v>99</v>
      </c>
      <c r="B59" t="s">
        <v>378</v>
      </c>
      <c r="C59">
        <v>959823245</v>
      </c>
      <c r="D59">
        <v>450000</v>
      </c>
      <c r="E59" s="1">
        <v>5</v>
      </c>
      <c r="F59" s="1">
        <f t="shared" si="0"/>
        <v>2250000</v>
      </c>
      <c r="G59" s="1">
        <f t="shared" si="1"/>
        <v>12</v>
      </c>
      <c r="H59" s="1">
        <f t="shared" si="2"/>
        <v>53</v>
      </c>
      <c r="I59" s="3">
        <v>45656</v>
      </c>
      <c r="J59" t="s">
        <v>13</v>
      </c>
      <c r="K59" t="s">
        <v>15</v>
      </c>
      <c r="L59" t="s">
        <v>28</v>
      </c>
    </row>
    <row r="60" spans="1:12" x14ac:dyDescent="0.25">
      <c r="A60" t="s">
        <v>100</v>
      </c>
      <c r="B60" t="s">
        <v>379</v>
      </c>
      <c r="C60">
        <v>983284724</v>
      </c>
      <c r="D60">
        <v>18490000</v>
      </c>
      <c r="E60" s="1" t="s">
        <v>8</v>
      </c>
      <c r="F60" s="1">
        <f t="shared" si="0"/>
        <v>18490000</v>
      </c>
      <c r="G60" s="1">
        <f t="shared" si="1"/>
        <v>12</v>
      </c>
      <c r="H60" s="1">
        <f t="shared" si="2"/>
        <v>52</v>
      </c>
      <c r="I60" s="3">
        <v>45653</v>
      </c>
      <c r="J60" t="s">
        <v>11</v>
      </c>
      <c r="K60" t="s">
        <v>16</v>
      </c>
      <c r="L60" t="s">
        <v>24</v>
      </c>
    </row>
    <row r="61" spans="1:12" x14ac:dyDescent="0.25">
      <c r="A61" t="s">
        <v>101</v>
      </c>
      <c r="B61" t="s">
        <v>380</v>
      </c>
      <c r="C61">
        <v>917507864</v>
      </c>
      <c r="D61">
        <v>9990000</v>
      </c>
      <c r="E61" s="1">
        <v>2</v>
      </c>
      <c r="F61" s="1">
        <f t="shared" si="0"/>
        <v>19980000</v>
      </c>
      <c r="G61" s="1">
        <f t="shared" si="1"/>
        <v>12</v>
      </c>
      <c r="H61" s="1">
        <f t="shared" si="2"/>
        <v>52</v>
      </c>
      <c r="I61" s="3">
        <v>45653</v>
      </c>
      <c r="J61" t="s">
        <v>13</v>
      </c>
      <c r="K61" t="s">
        <v>14</v>
      </c>
      <c r="L61" t="s">
        <v>17</v>
      </c>
    </row>
    <row r="62" spans="1:12" x14ac:dyDescent="0.25">
      <c r="A62" t="s">
        <v>102</v>
      </c>
      <c r="B62" t="s">
        <v>381</v>
      </c>
      <c r="C62">
        <v>933763566</v>
      </c>
      <c r="D62">
        <v>8900000</v>
      </c>
      <c r="E62" s="1">
        <v>2</v>
      </c>
      <c r="F62" s="1">
        <f t="shared" si="0"/>
        <v>17800000</v>
      </c>
      <c r="G62" s="1">
        <f t="shared" si="1"/>
        <v>12</v>
      </c>
      <c r="H62" s="1">
        <f t="shared" si="2"/>
        <v>49</v>
      </c>
      <c r="I62" s="3">
        <v>45627</v>
      </c>
      <c r="J62" t="s">
        <v>11</v>
      </c>
      <c r="K62" t="s">
        <v>16</v>
      </c>
      <c r="L62" t="s">
        <v>26</v>
      </c>
    </row>
    <row r="63" spans="1:12" x14ac:dyDescent="0.25">
      <c r="A63" t="s">
        <v>103</v>
      </c>
      <c r="B63" t="s">
        <v>382</v>
      </c>
      <c r="C63">
        <v>985500790</v>
      </c>
      <c r="D63">
        <v>9990000</v>
      </c>
      <c r="E63" s="1">
        <v>1</v>
      </c>
      <c r="F63" s="1">
        <f t="shared" si="0"/>
        <v>9990000</v>
      </c>
      <c r="G63" s="1">
        <f t="shared" si="1"/>
        <v>12</v>
      </c>
      <c r="H63" s="1">
        <f t="shared" si="2"/>
        <v>52</v>
      </c>
      <c r="I63" s="3">
        <v>45650</v>
      </c>
      <c r="J63" t="s">
        <v>11</v>
      </c>
      <c r="K63" t="s">
        <v>14</v>
      </c>
      <c r="L63" t="s">
        <v>17</v>
      </c>
    </row>
    <row r="64" spans="1:12" x14ac:dyDescent="0.25">
      <c r="A64" t="s">
        <v>104</v>
      </c>
      <c r="B64" t="s">
        <v>383</v>
      </c>
      <c r="C64">
        <v>999508850</v>
      </c>
      <c r="D64">
        <v>8900000</v>
      </c>
      <c r="E64" s="1" t="s">
        <v>6</v>
      </c>
      <c r="F64" s="1">
        <f t="shared" si="0"/>
        <v>17800000</v>
      </c>
      <c r="G64" s="1">
        <f t="shared" si="1"/>
        <v>11</v>
      </c>
      <c r="H64" s="1">
        <f t="shared" si="2"/>
        <v>46</v>
      </c>
      <c r="I64" s="3">
        <v>45608</v>
      </c>
      <c r="J64" t="s">
        <v>12</v>
      </c>
      <c r="K64" t="s">
        <v>16</v>
      </c>
      <c r="L64" t="s">
        <v>26</v>
      </c>
    </row>
    <row r="65" spans="1:12" x14ac:dyDescent="0.25">
      <c r="A65" t="s">
        <v>105</v>
      </c>
      <c r="B65" t="s">
        <v>384</v>
      </c>
      <c r="C65">
        <v>922097496</v>
      </c>
      <c r="D65">
        <v>12500000</v>
      </c>
      <c r="E65" s="1">
        <v>2</v>
      </c>
      <c r="F65" s="1">
        <f t="shared" si="0"/>
        <v>25000000</v>
      </c>
      <c r="G65" s="1">
        <f t="shared" si="1"/>
        <v>12</v>
      </c>
      <c r="H65" s="1">
        <f t="shared" si="2"/>
        <v>50</v>
      </c>
      <c r="I65" s="3">
        <v>45637</v>
      </c>
      <c r="J65" t="s">
        <v>11</v>
      </c>
      <c r="K65" t="s">
        <v>16</v>
      </c>
      <c r="L65" t="s">
        <v>25</v>
      </c>
    </row>
    <row r="66" spans="1:12" x14ac:dyDescent="0.25">
      <c r="A66" t="s">
        <v>106</v>
      </c>
      <c r="B66" t="s">
        <v>385</v>
      </c>
      <c r="C66">
        <v>990859912</v>
      </c>
      <c r="D66">
        <v>15990000</v>
      </c>
      <c r="E66" s="1">
        <v>2</v>
      </c>
      <c r="F66" s="1">
        <f t="shared" ref="F66:F129" si="3">(E66)*(D66)</f>
        <v>31980000</v>
      </c>
      <c r="G66" s="1">
        <f t="shared" ref="G66:G129" si="4">MONTH(I66)</f>
        <v>12</v>
      </c>
      <c r="H66" s="1">
        <f t="shared" ref="H66:H129" si="5">WEEKNUM(I66)</f>
        <v>51</v>
      </c>
      <c r="I66" s="3">
        <v>45644</v>
      </c>
      <c r="J66" t="s">
        <v>11</v>
      </c>
      <c r="K66" t="s">
        <v>14</v>
      </c>
      <c r="L66" t="s">
        <v>22</v>
      </c>
    </row>
    <row r="67" spans="1:12" x14ac:dyDescent="0.25">
      <c r="A67" t="s">
        <v>107</v>
      </c>
      <c r="B67" t="s">
        <v>386</v>
      </c>
      <c r="C67">
        <v>915134794</v>
      </c>
      <c r="D67">
        <v>18990000</v>
      </c>
      <c r="E67" s="1" t="s">
        <v>6</v>
      </c>
      <c r="F67" s="1">
        <f t="shared" si="3"/>
        <v>37980000</v>
      </c>
      <c r="G67" s="1">
        <f t="shared" si="4"/>
        <v>12</v>
      </c>
      <c r="H67" s="1">
        <f t="shared" si="5"/>
        <v>51</v>
      </c>
      <c r="I67" s="3">
        <v>45646</v>
      </c>
      <c r="J67" t="s">
        <v>12</v>
      </c>
      <c r="K67" t="s">
        <v>14</v>
      </c>
      <c r="L67" t="s">
        <v>20</v>
      </c>
    </row>
    <row r="68" spans="1:12" x14ac:dyDescent="0.25">
      <c r="A68" t="s">
        <v>108</v>
      </c>
      <c r="B68" t="s">
        <v>387</v>
      </c>
      <c r="C68">
        <v>982394227</v>
      </c>
      <c r="D68">
        <v>190000</v>
      </c>
      <c r="E68" s="1" t="s">
        <v>8</v>
      </c>
      <c r="F68" s="1">
        <f t="shared" si="3"/>
        <v>190000</v>
      </c>
      <c r="G68" s="1">
        <f t="shared" si="4"/>
        <v>12</v>
      </c>
      <c r="H68" s="1">
        <f t="shared" si="5"/>
        <v>53</v>
      </c>
      <c r="I68" s="3">
        <v>45656</v>
      </c>
      <c r="J68" t="s">
        <v>13</v>
      </c>
      <c r="K68" t="s">
        <v>15</v>
      </c>
      <c r="L68" t="s">
        <v>27</v>
      </c>
    </row>
    <row r="69" spans="1:12" x14ac:dyDescent="0.25">
      <c r="A69" t="s">
        <v>109</v>
      </c>
      <c r="B69" t="s">
        <v>388</v>
      </c>
      <c r="C69">
        <v>964362516</v>
      </c>
      <c r="D69">
        <v>12500000</v>
      </c>
      <c r="E69" s="1" t="s">
        <v>8</v>
      </c>
      <c r="F69" s="1">
        <f t="shared" si="3"/>
        <v>12500000</v>
      </c>
      <c r="G69" s="1">
        <f t="shared" si="4"/>
        <v>12</v>
      </c>
      <c r="H69" s="1">
        <f t="shared" si="5"/>
        <v>53</v>
      </c>
      <c r="I69" s="3">
        <v>45657</v>
      </c>
      <c r="J69" t="s">
        <v>11</v>
      </c>
      <c r="K69" t="s">
        <v>14</v>
      </c>
      <c r="L69" t="s">
        <v>36</v>
      </c>
    </row>
    <row r="70" spans="1:12" x14ac:dyDescent="0.25">
      <c r="A70" t="s">
        <v>110</v>
      </c>
      <c r="B70" t="s">
        <v>389</v>
      </c>
      <c r="C70">
        <v>955246430</v>
      </c>
      <c r="D70">
        <v>12500000</v>
      </c>
      <c r="E70" s="1">
        <v>1</v>
      </c>
      <c r="F70" s="1">
        <f t="shared" si="3"/>
        <v>12500000</v>
      </c>
      <c r="G70" s="1">
        <f t="shared" si="4"/>
        <v>12</v>
      </c>
      <c r="H70" s="1">
        <f t="shared" si="5"/>
        <v>51</v>
      </c>
      <c r="I70" s="3">
        <v>45645</v>
      </c>
      <c r="J70" t="s">
        <v>11</v>
      </c>
      <c r="K70" t="s">
        <v>16</v>
      </c>
      <c r="L70" t="s">
        <v>25</v>
      </c>
    </row>
    <row r="71" spans="1:12" x14ac:dyDescent="0.25">
      <c r="A71" t="s">
        <v>111</v>
      </c>
      <c r="B71" t="s">
        <v>390</v>
      </c>
      <c r="C71">
        <v>929042093</v>
      </c>
      <c r="D71">
        <v>250000</v>
      </c>
      <c r="E71" s="1" t="s">
        <v>8</v>
      </c>
      <c r="F71" s="1">
        <f t="shared" si="3"/>
        <v>250000</v>
      </c>
      <c r="G71" s="1">
        <f t="shared" si="4"/>
        <v>12</v>
      </c>
      <c r="H71" s="1">
        <f t="shared" si="5"/>
        <v>51</v>
      </c>
      <c r="I71" s="3">
        <v>45647</v>
      </c>
      <c r="J71" t="s">
        <v>12</v>
      </c>
      <c r="K71" t="s">
        <v>15</v>
      </c>
      <c r="L71" t="s">
        <v>38</v>
      </c>
    </row>
    <row r="72" spans="1:12" x14ac:dyDescent="0.25">
      <c r="A72" t="s">
        <v>112</v>
      </c>
      <c r="B72" t="s">
        <v>391</v>
      </c>
      <c r="C72">
        <v>911049999</v>
      </c>
      <c r="D72">
        <v>2990000</v>
      </c>
      <c r="E72" s="1" t="s">
        <v>9</v>
      </c>
      <c r="F72" s="1">
        <f t="shared" si="3"/>
        <v>8970000</v>
      </c>
      <c r="G72" s="1">
        <f t="shared" si="4"/>
        <v>12</v>
      </c>
      <c r="H72" s="1">
        <f t="shared" si="5"/>
        <v>52</v>
      </c>
      <c r="I72" s="3">
        <v>45653</v>
      </c>
      <c r="J72" t="s">
        <v>13</v>
      </c>
      <c r="K72" t="s">
        <v>15</v>
      </c>
      <c r="L72" t="s">
        <v>29</v>
      </c>
    </row>
    <row r="73" spans="1:12" x14ac:dyDescent="0.25">
      <c r="A73" t="s">
        <v>113</v>
      </c>
      <c r="B73" t="s">
        <v>392</v>
      </c>
      <c r="C73">
        <v>954410148</v>
      </c>
      <c r="D73">
        <v>450000</v>
      </c>
      <c r="E73" s="1">
        <v>1</v>
      </c>
      <c r="F73" s="1">
        <f t="shared" si="3"/>
        <v>450000</v>
      </c>
      <c r="G73" s="1">
        <f t="shared" si="4"/>
        <v>12</v>
      </c>
      <c r="H73" s="1">
        <f t="shared" si="5"/>
        <v>51</v>
      </c>
      <c r="I73" s="3">
        <v>45641</v>
      </c>
      <c r="J73" t="s">
        <v>12</v>
      </c>
      <c r="K73" t="s">
        <v>15</v>
      </c>
      <c r="L73" t="s">
        <v>28</v>
      </c>
    </row>
    <row r="74" spans="1:12" x14ac:dyDescent="0.25">
      <c r="A74" t="s">
        <v>114</v>
      </c>
      <c r="B74" t="s">
        <v>393</v>
      </c>
      <c r="C74">
        <v>977674279</v>
      </c>
      <c r="D74">
        <v>350000</v>
      </c>
      <c r="E74" s="1">
        <v>1</v>
      </c>
      <c r="F74" s="1">
        <f t="shared" si="3"/>
        <v>350000</v>
      </c>
      <c r="G74" s="1">
        <f t="shared" si="4"/>
        <v>12</v>
      </c>
      <c r="H74" s="1">
        <f t="shared" si="5"/>
        <v>50</v>
      </c>
      <c r="I74" s="3">
        <v>45635</v>
      </c>
      <c r="J74" t="s">
        <v>12</v>
      </c>
      <c r="K74" t="s">
        <v>15</v>
      </c>
      <c r="L74" t="s">
        <v>18</v>
      </c>
    </row>
    <row r="75" spans="1:12" x14ac:dyDescent="0.25">
      <c r="A75" t="s">
        <v>115</v>
      </c>
      <c r="B75" t="s">
        <v>394</v>
      </c>
      <c r="C75">
        <v>943491314</v>
      </c>
      <c r="D75">
        <v>2990000</v>
      </c>
      <c r="E75" s="1">
        <v>5</v>
      </c>
      <c r="F75" s="1">
        <f t="shared" si="3"/>
        <v>14950000</v>
      </c>
      <c r="G75" s="1">
        <f t="shared" si="4"/>
        <v>4</v>
      </c>
      <c r="H75" s="1">
        <f t="shared" si="5"/>
        <v>15</v>
      </c>
      <c r="I75" s="3">
        <v>45394</v>
      </c>
      <c r="J75" t="s">
        <v>11</v>
      </c>
      <c r="K75" t="s">
        <v>15</v>
      </c>
      <c r="L75" t="s">
        <v>29</v>
      </c>
    </row>
    <row r="76" spans="1:12" x14ac:dyDescent="0.25">
      <c r="A76" t="s">
        <v>116</v>
      </c>
      <c r="B76" t="s">
        <v>395</v>
      </c>
      <c r="C76">
        <v>919736572</v>
      </c>
      <c r="D76">
        <v>12500000</v>
      </c>
      <c r="E76" s="1">
        <v>1</v>
      </c>
      <c r="F76" s="1">
        <f t="shared" si="3"/>
        <v>12500000</v>
      </c>
      <c r="G76" s="1">
        <f t="shared" si="4"/>
        <v>12</v>
      </c>
      <c r="H76" s="1">
        <f t="shared" si="5"/>
        <v>51</v>
      </c>
      <c r="I76" s="3">
        <v>45641</v>
      </c>
      <c r="J76" t="s">
        <v>11</v>
      </c>
      <c r="K76" t="s">
        <v>14</v>
      </c>
      <c r="L76" t="s">
        <v>36</v>
      </c>
    </row>
    <row r="77" spans="1:12" x14ac:dyDescent="0.25">
      <c r="A77" t="s">
        <v>117</v>
      </c>
      <c r="B77" t="s">
        <v>396</v>
      </c>
      <c r="C77">
        <v>991259008</v>
      </c>
      <c r="D77">
        <v>8900000</v>
      </c>
      <c r="E77" s="1" t="s">
        <v>8</v>
      </c>
      <c r="F77" s="1">
        <f t="shared" si="3"/>
        <v>8900000</v>
      </c>
      <c r="G77" s="1">
        <f t="shared" si="4"/>
        <v>12</v>
      </c>
      <c r="H77" s="1">
        <f t="shared" si="5"/>
        <v>49</v>
      </c>
      <c r="I77" s="3">
        <v>45630</v>
      </c>
      <c r="J77" t="s">
        <v>11</v>
      </c>
      <c r="K77" t="s">
        <v>16</v>
      </c>
      <c r="L77" t="s">
        <v>26</v>
      </c>
    </row>
    <row r="78" spans="1:12" x14ac:dyDescent="0.25">
      <c r="A78" t="s">
        <v>118</v>
      </c>
      <c r="B78" t="s">
        <v>397</v>
      </c>
      <c r="C78">
        <v>961940566</v>
      </c>
      <c r="D78">
        <v>450000</v>
      </c>
      <c r="E78" s="1" t="s">
        <v>9</v>
      </c>
      <c r="F78" s="1">
        <f t="shared" si="3"/>
        <v>1350000</v>
      </c>
      <c r="G78" s="1">
        <f t="shared" si="4"/>
        <v>4</v>
      </c>
      <c r="H78" s="1">
        <f t="shared" si="5"/>
        <v>15</v>
      </c>
      <c r="I78" s="3">
        <v>45394</v>
      </c>
      <c r="J78" t="s">
        <v>11</v>
      </c>
      <c r="K78" t="s">
        <v>15</v>
      </c>
      <c r="L78" t="s">
        <v>28</v>
      </c>
    </row>
    <row r="79" spans="1:12" x14ac:dyDescent="0.25">
      <c r="A79" t="s">
        <v>119</v>
      </c>
      <c r="B79" t="s">
        <v>398</v>
      </c>
      <c r="C79">
        <v>998043078</v>
      </c>
      <c r="D79">
        <v>6990000</v>
      </c>
      <c r="E79" s="1">
        <v>1</v>
      </c>
      <c r="F79" s="1">
        <f t="shared" si="3"/>
        <v>6990000</v>
      </c>
      <c r="G79" s="1">
        <f t="shared" si="4"/>
        <v>12</v>
      </c>
      <c r="H79" s="1">
        <f t="shared" si="5"/>
        <v>52</v>
      </c>
      <c r="I79" s="3">
        <v>45650</v>
      </c>
      <c r="J79" t="s">
        <v>12</v>
      </c>
      <c r="K79" t="s">
        <v>14</v>
      </c>
      <c r="L79" t="s">
        <v>35</v>
      </c>
    </row>
    <row r="80" spans="1:12" x14ac:dyDescent="0.25">
      <c r="A80" t="s">
        <v>120</v>
      </c>
      <c r="B80" t="s">
        <v>399</v>
      </c>
      <c r="C80">
        <v>993955206</v>
      </c>
      <c r="D80">
        <v>18990000</v>
      </c>
      <c r="E80" s="1">
        <v>1</v>
      </c>
      <c r="F80" s="1">
        <f t="shared" si="3"/>
        <v>18990000</v>
      </c>
      <c r="G80" s="1">
        <f t="shared" si="4"/>
        <v>12</v>
      </c>
      <c r="H80" s="1">
        <f t="shared" si="5"/>
        <v>50</v>
      </c>
      <c r="I80" s="3">
        <v>45635</v>
      </c>
      <c r="J80" t="s">
        <v>11</v>
      </c>
      <c r="K80" t="s">
        <v>14</v>
      </c>
      <c r="L80" t="s">
        <v>19</v>
      </c>
    </row>
    <row r="81" spans="1:12" x14ac:dyDescent="0.25">
      <c r="A81" t="s">
        <v>121</v>
      </c>
      <c r="B81" t="s">
        <v>400</v>
      </c>
      <c r="C81">
        <v>914265799</v>
      </c>
      <c r="D81">
        <v>12500000</v>
      </c>
      <c r="E81" s="1" t="s">
        <v>8</v>
      </c>
      <c r="F81" s="1">
        <f t="shared" si="3"/>
        <v>12500000</v>
      </c>
      <c r="G81" s="1">
        <f t="shared" si="4"/>
        <v>12</v>
      </c>
      <c r="H81" s="1">
        <f t="shared" si="5"/>
        <v>49</v>
      </c>
      <c r="I81" s="3">
        <v>45629</v>
      </c>
      <c r="J81" t="s">
        <v>11</v>
      </c>
      <c r="K81" t="s">
        <v>14</v>
      </c>
      <c r="L81" t="s">
        <v>36</v>
      </c>
    </row>
    <row r="82" spans="1:12" x14ac:dyDescent="0.25">
      <c r="A82" t="s">
        <v>122</v>
      </c>
      <c r="B82" t="s">
        <v>401</v>
      </c>
      <c r="C82">
        <v>922007214</v>
      </c>
      <c r="D82">
        <v>3990000</v>
      </c>
      <c r="E82" s="1" t="s">
        <v>10</v>
      </c>
      <c r="F82" s="1">
        <f t="shared" si="3"/>
        <v>19950000</v>
      </c>
      <c r="G82" s="1">
        <f t="shared" si="4"/>
        <v>12</v>
      </c>
      <c r="H82" s="1">
        <f t="shared" si="5"/>
        <v>51</v>
      </c>
      <c r="I82" s="3">
        <v>45645</v>
      </c>
      <c r="J82" t="s">
        <v>13</v>
      </c>
      <c r="K82" t="s">
        <v>15</v>
      </c>
      <c r="L82" t="s">
        <v>33</v>
      </c>
    </row>
    <row r="83" spans="1:12" x14ac:dyDescent="0.25">
      <c r="A83" t="s">
        <v>123</v>
      </c>
      <c r="B83" t="s">
        <v>402</v>
      </c>
      <c r="C83">
        <v>931810655</v>
      </c>
      <c r="D83">
        <v>8990000</v>
      </c>
      <c r="E83" s="1" t="s">
        <v>6</v>
      </c>
      <c r="F83" s="1">
        <f t="shared" si="3"/>
        <v>17980000</v>
      </c>
      <c r="G83" s="1">
        <f t="shared" si="4"/>
        <v>12</v>
      </c>
      <c r="H83" s="1">
        <f t="shared" si="5"/>
        <v>51</v>
      </c>
      <c r="I83" s="3">
        <v>45646</v>
      </c>
      <c r="J83" t="s">
        <v>11</v>
      </c>
      <c r="K83" t="s">
        <v>16</v>
      </c>
      <c r="L83" t="s">
        <v>39</v>
      </c>
    </row>
    <row r="84" spans="1:12" x14ac:dyDescent="0.25">
      <c r="A84" t="s">
        <v>124</v>
      </c>
      <c r="B84" t="s">
        <v>403</v>
      </c>
      <c r="C84">
        <v>929163535</v>
      </c>
      <c r="D84">
        <v>80000</v>
      </c>
      <c r="E84" s="1">
        <v>1</v>
      </c>
      <c r="F84" s="1">
        <f t="shared" si="3"/>
        <v>80000</v>
      </c>
      <c r="G84" s="1">
        <f t="shared" si="4"/>
        <v>12</v>
      </c>
      <c r="H84" s="1">
        <f t="shared" si="5"/>
        <v>52</v>
      </c>
      <c r="I84" s="3">
        <v>45648</v>
      </c>
      <c r="J84" t="s">
        <v>11</v>
      </c>
      <c r="K84" t="s">
        <v>15</v>
      </c>
      <c r="L84" t="s">
        <v>21</v>
      </c>
    </row>
    <row r="85" spans="1:12" x14ac:dyDescent="0.25">
      <c r="A85" t="s">
        <v>125</v>
      </c>
      <c r="B85" t="s">
        <v>404</v>
      </c>
      <c r="C85">
        <v>982232344</v>
      </c>
      <c r="D85">
        <v>190000</v>
      </c>
      <c r="E85" s="1" t="s">
        <v>7</v>
      </c>
      <c r="F85" s="1">
        <f t="shared" si="3"/>
        <v>760000</v>
      </c>
      <c r="G85" s="1">
        <f t="shared" si="4"/>
        <v>12</v>
      </c>
      <c r="H85" s="1">
        <f t="shared" si="5"/>
        <v>51</v>
      </c>
      <c r="I85" s="3">
        <v>45642</v>
      </c>
      <c r="J85" t="s">
        <v>12</v>
      </c>
      <c r="K85" t="s">
        <v>15</v>
      </c>
      <c r="L85" t="s">
        <v>27</v>
      </c>
    </row>
    <row r="86" spans="1:12" x14ac:dyDescent="0.25">
      <c r="A86" t="s">
        <v>126</v>
      </c>
      <c r="B86" t="s">
        <v>405</v>
      </c>
      <c r="C86">
        <v>921318464</v>
      </c>
      <c r="D86">
        <v>890000</v>
      </c>
      <c r="E86" s="1">
        <v>1</v>
      </c>
      <c r="F86" s="1">
        <f t="shared" si="3"/>
        <v>890000</v>
      </c>
      <c r="G86" s="1">
        <f t="shared" si="4"/>
        <v>12</v>
      </c>
      <c r="H86" s="1">
        <f t="shared" si="5"/>
        <v>51</v>
      </c>
      <c r="I86" s="3">
        <v>45647</v>
      </c>
      <c r="J86" t="s">
        <v>12</v>
      </c>
      <c r="K86" t="s">
        <v>15</v>
      </c>
      <c r="L86" t="s">
        <v>40</v>
      </c>
    </row>
    <row r="87" spans="1:12" x14ac:dyDescent="0.25">
      <c r="A87" t="s">
        <v>127</v>
      </c>
      <c r="B87" t="s">
        <v>406</v>
      </c>
      <c r="C87">
        <v>979654147</v>
      </c>
      <c r="D87">
        <v>3990000</v>
      </c>
      <c r="E87" s="1" t="s">
        <v>6</v>
      </c>
      <c r="F87" s="1">
        <f t="shared" si="3"/>
        <v>7980000</v>
      </c>
      <c r="G87" s="1">
        <f t="shared" si="4"/>
        <v>12</v>
      </c>
      <c r="H87" s="1">
        <f t="shared" si="5"/>
        <v>51</v>
      </c>
      <c r="I87" s="3">
        <v>45641</v>
      </c>
      <c r="J87" t="s">
        <v>12</v>
      </c>
      <c r="K87" t="s">
        <v>15</v>
      </c>
      <c r="L87" t="s">
        <v>33</v>
      </c>
    </row>
    <row r="88" spans="1:12" x14ac:dyDescent="0.25">
      <c r="A88" t="s">
        <v>128</v>
      </c>
      <c r="B88" t="s">
        <v>407</v>
      </c>
      <c r="C88">
        <v>920770971</v>
      </c>
      <c r="D88">
        <v>2990000</v>
      </c>
      <c r="E88" s="1">
        <v>5</v>
      </c>
      <c r="F88" s="1">
        <f t="shared" si="3"/>
        <v>14950000</v>
      </c>
      <c r="G88" s="1">
        <f t="shared" si="4"/>
        <v>12</v>
      </c>
      <c r="H88" s="1">
        <f t="shared" si="5"/>
        <v>53</v>
      </c>
      <c r="I88" s="3">
        <v>45657</v>
      </c>
      <c r="J88" t="s">
        <v>12</v>
      </c>
      <c r="K88" t="s">
        <v>15</v>
      </c>
      <c r="L88" t="s">
        <v>29</v>
      </c>
    </row>
    <row r="89" spans="1:12" x14ac:dyDescent="0.25">
      <c r="A89" t="s">
        <v>129</v>
      </c>
      <c r="B89" t="s">
        <v>408</v>
      </c>
      <c r="C89">
        <v>978139880</v>
      </c>
      <c r="D89">
        <v>18990000</v>
      </c>
      <c r="E89" s="1" t="s">
        <v>6</v>
      </c>
      <c r="F89" s="1">
        <f t="shared" si="3"/>
        <v>37980000</v>
      </c>
      <c r="G89" s="1">
        <f t="shared" si="4"/>
        <v>12</v>
      </c>
      <c r="H89" s="1">
        <f t="shared" si="5"/>
        <v>52</v>
      </c>
      <c r="I89" s="3">
        <v>45654</v>
      </c>
      <c r="J89" t="s">
        <v>13</v>
      </c>
      <c r="K89" t="s">
        <v>14</v>
      </c>
      <c r="L89" t="s">
        <v>20</v>
      </c>
    </row>
    <row r="90" spans="1:12" x14ac:dyDescent="0.25">
      <c r="A90" t="s">
        <v>130</v>
      </c>
      <c r="B90" t="s">
        <v>409</v>
      </c>
      <c r="C90">
        <v>925372341</v>
      </c>
      <c r="D90">
        <v>190000</v>
      </c>
      <c r="E90" s="1">
        <v>3</v>
      </c>
      <c r="F90" s="1">
        <f t="shared" si="3"/>
        <v>570000</v>
      </c>
      <c r="G90" s="1">
        <f t="shared" si="4"/>
        <v>12</v>
      </c>
      <c r="H90" s="1">
        <f t="shared" si="5"/>
        <v>52</v>
      </c>
      <c r="I90" s="3">
        <v>45653</v>
      </c>
      <c r="J90" t="s">
        <v>12</v>
      </c>
      <c r="K90" t="s">
        <v>15</v>
      </c>
      <c r="L90" t="s">
        <v>27</v>
      </c>
    </row>
    <row r="91" spans="1:12" x14ac:dyDescent="0.25">
      <c r="A91" t="s">
        <v>131</v>
      </c>
      <c r="B91" t="s">
        <v>410</v>
      </c>
      <c r="C91">
        <v>970505620</v>
      </c>
      <c r="D91">
        <v>9990000</v>
      </c>
      <c r="E91" s="1">
        <v>2</v>
      </c>
      <c r="F91" s="1">
        <f t="shared" si="3"/>
        <v>19980000</v>
      </c>
      <c r="G91" s="1">
        <f t="shared" si="4"/>
        <v>12</v>
      </c>
      <c r="H91" s="1">
        <f t="shared" si="5"/>
        <v>52</v>
      </c>
      <c r="I91" s="3">
        <v>45651</v>
      </c>
      <c r="J91" t="s">
        <v>12</v>
      </c>
      <c r="K91" t="s">
        <v>14</v>
      </c>
      <c r="L91" t="s">
        <v>17</v>
      </c>
    </row>
    <row r="92" spans="1:12" x14ac:dyDescent="0.25">
      <c r="A92" t="s">
        <v>132</v>
      </c>
      <c r="B92" t="s">
        <v>411</v>
      </c>
      <c r="C92">
        <v>998610233</v>
      </c>
      <c r="D92">
        <v>8900000</v>
      </c>
      <c r="E92" s="1">
        <v>1</v>
      </c>
      <c r="F92" s="1">
        <f t="shared" si="3"/>
        <v>8900000</v>
      </c>
      <c r="G92" s="1">
        <f t="shared" si="4"/>
        <v>12</v>
      </c>
      <c r="H92" s="1">
        <f t="shared" si="5"/>
        <v>51</v>
      </c>
      <c r="I92" s="3">
        <v>45646</v>
      </c>
      <c r="J92" t="s">
        <v>11</v>
      </c>
      <c r="K92" t="s">
        <v>16</v>
      </c>
      <c r="L92" t="s">
        <v>26</v>
      </c>
    </row>
    <row r="93" spans="1:12" x14ac:dyDescent="0.25">
      <c r="A93" t="s">
        <v>133</v>
      </c>
      <c r="B93" t="s">
        <v>412</v>
      </c>
      <c r="C93">
        <v>976795767</v>
      </c>
      <c r="D93">
        <v>280000</v>
      </c>
      <c r="E93" s="1" t="s">
        <v>7</v>
      </c>
      <c r="F93" s="1">
        <f t="shared" si="3"/>
        <v>1120000</v>
      </c>
      <c r="G93" s="1">
        <f t="shared" si="4"/>
        <v>12</v>
      </c>
      <c r="H93" s="1">
        <f t="shared" si="5"/>
        <v>49</v>
      </c>
      <c r="I93" s="3">
        <v>45631</v>
      </c>
      <c r="J93" t="s">
        <v>12</v>
      </c>
      <c r="K93" t="s">
        <v>15</v>
      </c>
      <c r="L93" t="s">
        <v>37</v>
      </c>
    </row>
    <row r="94" spans="1:12" x14ac:dyDescent="0.25">
      <c r="A94" t="s">
        <v>134</v>
      </c>
      <c r="B94" t="s">
        <v>413</v>
      </c>
      <c r="C94">
        <v>961053877</v>
      </c>
      <c r="D94">
        <v>150000</v>
      </c>
      <c r="E94" s="1">
        <v>3</v>
      </c>
      <c r="F94" s="1">
        <f t="shared" si="3"/>
        <v>450000</v>
      </c>
      <c r="G94" s="1">
        <f t="shared" si="4"/>
        <v>1</v>
      </c>
      <c r="H94" s="1">
        <f t="shared" si="5"/>
        <v>2</v>
      </c>
      <c r="I94" s="3">
        <v>45303</v>
      </c>
      <c r="J94" t="s">
        <v>12</v>
      </c>
      <c r="K94" t="s">
        <v>15</v>
      </c>
      <c r="L94" t="s">
        <v>32</v>
      </c>
    </row>
    <row r="95" spans="1:12" x14ac:dyDescent="0.25">
      <c r="A95" t="s">
        <v>135</v>
      </c>
      <c r="B95" t="s">
        <v>414</v>
      </c>
      <c r="C95">
        <v>919794273</v>
      </c>
      <c r="D95">
        <v>5290000</v>
      </c>
      <c r="E95" s="1">
        <v>4</v>
      </c>
      <c r="F95" s="1">
        <f t="shared" si="3"/>
        <v>21160000</v>
      </c>
      <c r="G95" s="1">
        <f t="shared" si="4"/>
        <v>12</v>
      </c>
      <c r="H95" s="1">
        <f t="shared" si="5"/>
        <v>49</v>
      </c>
      <c r="I95" s="3">
        <v>45628</v>
      </c>
      <c r="J95" t="s">
        <v>13</v>
      </c>
      <c r="K95" t="s">
        <v>15</v>
      </c>
      <c r="L95" t="s">
        <v>34</v>
      </c>
    </row>
    <row r="96" spans="1:12" x14ac:dyDescent="0.25">
      <c r="A96" t="s">
        <v>136</v>
      </c>
      <c r="B96" t="s">
        <v>415</v>
      </c>
      <c r="C96">
        <v>924208709</v>
      </c>
      <c r="D96">
        <v>9990000</v>
      </c>
      <c r="E96" s="1" t="s">
        <v>6</v>
      </c>
      <c r="F96" s="1">
        <f t="shared" si="3"/>
        <v>19980000</v>
      </c>
      <c r="G96" s="1">
        <f t="shared" si="4"/>
        <v>12</v>
      </c>
      <c r="H96" s="1">
        <f t="shared" si="5"/>
        <v>50</v>
      </c>
      <c r="I96" s="3">
        <v>45640</v>
      </c>
      <c r="J96" t="s">
        <v>12</v>
      </c>
      <c r="K96" t="s">
        <v>14</v>
      </c>
      <c r="L96" t="s">
        <v>17</v>
      </c>
    </row>
    <row r="97" spans="1:12" x14ac:dyDescent="0.25">
      <c r="A97" t="s">
        <v>137</v>
      </c>
      <c r="B97" t="s">
        <v>416</v>
      </c>
      <c r="C97">
        <v>924165187</v>
      </c>
      <c r="D97">
        <v>8900000</v>
      </c>
      <c r="E97" s="1" t="s">
        <v>6</v>
      </c>
      <c r="F97" s="1">
        <f t="shared" si="3"/>
        <v>17800000</v>
      </c>
      <c r="G97" s="1">
        <f t="shared" si="4"/>
        <v>12</v>
      </c>
      <c r="H97" s="1">
        <f t="shared" si="5"/>
        <v>53</v>
      </c>
      <c r="I97" s="3">
        <v>45657</v>
      </c>
      <c r="J97" t="s">
        <v>13</v>
      </c>
      <c r="K97" t="s">
        <v>16</v>
      </c>
      <c r="L97" t="s">
        <v>26</v>
      </c>
    </row>
    <row r="98" spans="1:12" x14ac:dyDescent="0.25">
      <c r="A98" t="s">
        <v>138</v>
      </c>
      <c r="B98" t="s">
        <v>417</v>
      </c>
      <c r="C98">
        <v>911097552</v>
      </c>
      <c r="D98">
        <v>18990000</v>
      </c>
      <c r="E98" s="1" t="s">
        <v>6</v>
      </c>
      <c r="F98" s="1">
        <f t="shared" si="3"/>
        <v>37980000</v>
      </c>
      <c r="G98" s="1">
        <f t="shared" si="4"/>
        <v>12</v>
      </c>
      <c r="H98" s="1">
        <f t="shared" si="5"/>
        <v>50</v>
      </c>
      <c r="I98" s="3">
        <v>45640</v>
      </c>
      <c r="J98" t="s">
        <v>12</v>
      </c>
      <c r="K98" t="s">
        <v>14</v>
      </c>
      <c r="L98" t="s">
        <v>20</v>
      </c>
    </row>
    <row r="99" spans="1:12" x14ac:dyDescent="0.25">
      <c r="A99" t="s">
        <v>139</v>
      </c>
      <c r="B99" t="s">
        <v>418</v>
      </c>
      <c r="C99">
        <v>959805178</v>
      </c>
      <c r="D99">
        <v>28990000</v>
      </c>
      <c r="E99" s="1">
        <v>1</v>
      </c>
      <c r="F99" s="1">
        <f t="shared" si="3"/>
        <v>28990000</v>
      </c>
      <c r="G99" s="1">
        <f t="shared" si="4"/>
        <v>12</v>
      </c>
      <c r="H99" s="1">
        <f t="shared" si="5"/>
        <v>51</v>
      </c>
      <c r="I99" s="3">
        <v>45644</v>
      </c>
      <c r="J99" t="s">
        <v>11</v>
      </c>
      <c r="K99" t="s">
        <v>14</v>
      </c>
      <c r="L99" t="s">
        <v>23</v>
      </c>
    </row>
    <row r="100" spans="1:12" x14ac:dyDescent="0.25">
      <c r="A100" t="s">
        <v>140</v>
      </c>
      <c r="B100" t="s">
        <v>419</v>
      </c>
      <c r="C100">
        <v>936998038</v>
      </c>
      <c r="D100">
        <v>5290000</v>
      </c>
      <c r="E100" s="1">
        <v>3</v>
      </c>
      <c r="F100" s="1">
        <f t="shared" si="3"/>
        <v>15870000</v>
      </c>
      <c r="G100" s="1">
        <f t="shared" si="4"/>
        <v>10</v>
      </c>
      <c r="H100" s="1">
        <f t="shared" si="5"/>
        <v>41</v>
      </c>
      <c r="I100" s="3">
        <v>45577</v>
      </c>
      <c r="J100" t="s">
        <v>12</v>
      </c>
      <c r="K100" t="s">
        <v>15</v>
      </c>
      <c r="L100" t="s">
        <v>34</v>
      </c>
    </row>
    <row r="101" spans="1:12" x14ac:dyDescent="0.25">
      <c r="A101" t="s">
        <v>141</v>
      </c>
      <c r="B101" t="s">
        <v>420</v>
      </c>
      <c r="C101">
        <v>982937948</v>
      </c>
      <c r="D101">
        <v>8990000</v>
      </c>
      <c r="E101" s="1" t="s">
        <v>8</v>
      </c>
      <c r="F101" s="1">
        <f t="shared" si="3"/>
        <v>8990000</v>
      </c>
      <c r="G101" s="1">
        <f t="shared" si="4"/>
        <v>12</v>
      </c>
      <c r="H101" s="1">
        <f t="shared" si="5"/>
        <v>51</v>
      </c>
      <c r="I101" s="3">
        <v>45641</v>
      </c>
      <c r="J101" t="s">
        <v>12</v>
      </c>
      <c r="K101" t="s">
        <v>16</v>
      </c>
      <c r="L101" t="s">
        <v>39</v>
      </c>
    </row>
    <row r="102" spans="1:12" x14ac:dyDescent="0.25">
      <c r="A102" t="s">
        <v>142</v>
      </c>
      <c r="B102" t="s">
        <v>421</v>
      </c>
      <c r="C102">
        <v>976845536</v>
      </c>
      <c r="D102">
        <v>3990000</v>
      </c>
      <c r="E102" s="1">
        <v>3</v>
      </c>
      <c r="F102" s="1">
        <f t="shared" si="3"/>
        <v>11970000</v>
      </c>
      <c r="G102" s="1">
        <f t="shared" si="4"/>
        <v>12</v>
      </c>
      <c r="H102" s="1">
        <f t="shared" si="5"/>
        <v>51</v>
      </c>
      <c r="I102" s="3">
        <v>45644</v>
      </c>
      <c r="J102" t="s">
        <v>11</v>
      </c>
      <c r="K102" t="s">
        <v>15</v>
      </c>
      <c r="L102" t="s">
        <v>33</v>
      </c>
    </row>
    <row r="103" spans="1:12" x14ac:dyDescent="0.25">
      <c r="A103" t="s">
        <v>143</v>
      </c>
      <c r="B103" t="s">
        <v>422</v>
      </c>
      <c r="C103">
        <v>955176955</v>
      </c>
      <c r="D103">
        <v>18990000</v>
      </c>
      <c r="E103" s="1">
        <v>1</v>
      </c>
      <c r="F103" s="1">
        <f t="shared" si="3"/>
        <v>18990000</v>
      </c>
      <c r="G103" s="1">
        <f t="shared" si="4"/>
        <v>3</v>
      </c>
      <c r="H103" s="1">
        <f t="shared" si="5"/>
        <v>11</v>
      </c>
      <c r="I103" s="3">
        <v>45363</v>
      </c>
      <c r="J103" t="s">
        <v>11</v>
      </c>
      <c r="K103" t="s">
        <v>14</v>
      </c>
      <c r="L103" t="s">
        <v>20</v>
      </c>
    </row>
    <row r="104" spans="1:12" x14ac:dyDescent="0.25">
      <c r="A104" t="s">
        <v>144</v>
      </c>
      <c r="B104" t="s">
        <v>423</v>
      </c>
      <c r="C104">
        <v>975575808</v>
      </c>
      <c r="D104">
        <v>450000</v>
      </c>
      <c r="E104" s="1" t="s">
        <v>7</v>
      </c>
      <c r="F104" s="1">
        <f t="shared" si="3"/>
        <v>1800000</v>
      </c>
      <c r="G104" s="1">
        <f t="shared" si="4"/>
        <v>12</v>
      </c>
      <c r="H104" s="1">
        <f t="shared" si="5"/>
        <v>52</v>
      </c>
      <c r="I104" s="3">
        <v>45651</v>
      </c>
      <c r="J104" t="s">
        <v>12</v>
      </c>
      <c r="K104" t="s">
        <v>15</v>
      </c>
      <c r="L104" t="s">
        <v>28</v>
      </c>
    </row>
    <row r="105" spans="1:12" x14ac:dyDescent="0.25">
      <c r="A105" t="s">
        <v>145</v>
      </c>
      <c r="B105" t="s">
        <v>424</v>
      </c>
      <c r="C105">
        <v>988461803</v>
      </c>
      <c r="D105">
        <v>8900000</v>
      </c>
      <c r="E105" s="1">
        <v>2</v>
      </c>
      <c r="F105" s="1">
        <f t="shared" si="3"/>
        <v>17800000</v>
      </c>
      <c r="G105" s="1">
        <f t="shared" si="4"/>
        <v>12</v>
      </c>
      <c r="H105" s="1">
        <f t="shared" si="5"/>
        <v>53</v>
      </c>
      <c r="I105" s="3">
        <v>45655</v>
      </c>
      <c r="J105" t="s">
        <v>13</v>
      </c>
      <c r="K105" t="s">
        <v>16</v>
      </c>
      <c r="L105" t="s">
        <v>26</v>
      </c>
    </row>
    <row r="106" spans="1:12" x14ac:dyDescent="0.25">
      <c r="A106" t="s">
        <v>146</v>
      </c>
      <c r="B106" t="s">
        <v>425</v>
      </c>
      <c r="C106">
        <v>931306555</v>
      </c>
      <c r="D106">
        <v>9990000</v>
      </c>
      <c r="E106" s="1">
        <v>2</v>
      </c>
      <c r="F106" s="1">
        <f t="shared" si="3"/>
        <v>19980000</v>
      </c>
      <c r="G106" s="1">
        <f t="shared" si="4"/>
        <v>12</v>
      </c>
      <c r="H106" s="1">
        <f t="shared" si="5"/>
        <v>50</v>
      </c>
      <c r="I106" s="3">
        <v>45638</v>
      </c>
      <c r="J106" t="s">
        <v>11</v>
      </c>
      <c r="K106" t="s">
        <v>16</v>
      </c>
      <c r="L106" t="s">
        <v>30</v>
      </c>
    </row>
    <row r="107" spans="1:12" x14ac:dyDescent="0.25">
      <c r="A107" t="s">
        <v>147</v>
      </c>
      <c r="B107" t="s">
        <v>426</v>
      </c>
      <c r="C107">
        <v>931803703</v>
      </c>
      <c r="D107">
        <v>280000</v>
      </c>
      <c r="E107" s="1" t="s">
        <v>7</v>
      </c>
      <c r="F107" s="1">
        <f t="shared" si="3"/>
        <v>1120000</v>
      </c>
      <c r="G107" s="1">
        <f t="shared" si="4"/>
        <v>12</v>
      </c>
      <c r="H107" s="1">
        <f t="shared" si="5"/>
        <v>50</v>
      </c>
      <c r="I107" s="3">
        <v>45634</v>
      </c>
      <c r="J107" t="s">
        <v>12</v>
      </c>
      <c r="K107" t="s">
        <v>15</v>
      </c>
      <c r="L107" t="s">
        <v>37</v>
      </c>
    </row>
    <row r="108" spans="1:12" x14ac:dyDescent="0.25">
      <c r="A108" t="s">
        <v>148</v>
      </c>
      <c r="B108" t="s">
        <v>427</v>
      </c>
      <c r="C108">
        <v>920814950</v>
      </c>
      <c r="D108">
        <v>25990000</v>
      </c>
      <c r="E108" s="1" t="s">
        <v>6</v>
      </c>
      <c r="F108" s="1">
        <f t="shared" si="3"/>
        <v>51980000</v>
      </c>
      <c r="G108" s="1">
        <f t="shared" si="4"/>
        <v>12</v>
      </c>
      <c r="H108" s="1">
        <f t="shared" si="5"/>
        <v>49</v>
      </c>
      <c r="I108" s="3">
        <v>45631</v>
      </c>
      <c r="J108" t="s">
        <v>13</v>
      </c>
      <c r="K108" t="s">
        <v>14</v>
      </c>
      <c r="L108" t="s">
        <v>31</v>
      </c>
    </row>
    <row r="109" spans="1:12" x14ac:dyDescent="0.25">
      <c r="A109" t="s">
        <v>149</v>
      </c>
      <c r="B109" t="s">
        <v>428</v>
      </c>
      <c r="C109">
        <v>940884937</v>
      </c>
      <c r="D109">
        <v>890000</v>
      </c>
      <c r="E109" s="1">
        <v>3</v>
      </c>
      <c r="F109" s="1">
        <f t="shared" si="3"/>
        <v>2670000</v>
      </c>
      <c r="G109" s="1">
        <f t="shared" si="4"/>
        <v>12</v>
      </c>
      <c r="H109" s="1">
        <f t="shared" si="5"/>
        <v>51</v>
      </c>
      <c r="I109" s="3">
        <v>45644</v>
      </c>
      <c r="J109" t="s">
        <v>11</v>
      </c>
      <c r="K109" t="s">
        <v>15</v>
      </c>
      <c r="L109" t="s">
        <v>40</v>
      </c>
    </row>
    <row r="110" spans="1:12" x14ac:dyDescent="0.25">
      <c r="A110" t="s">
        <v>150</v>
      </c>
      <c r="B110" t="s">
        <v>429</v>
      </c>
      <c r="C110">
        <v>928463709</v>
      </c>
      <c r="D110">
        <v>25990000</v>
      </c>
      <c r="E110" s="1" t="s">
        <v>8</v>
      </c>
      <c r="F110" s="1">
        <f t="shared" si="3"/>
        <v>25990000</v>
      </c>
      <c r="G110" s="1">
        <f t="shared" si="4"/>
        <v>3</v>
      </c>
      <c r="H110" s="1">
        <f t="shared" si="5"/>
        <v>11</v>
      </c>
      <c r="I110" s="3">
        <v>45363</v>
      </c>
      <c r="J110" t="s">
        <v>11</v>
      </c>
      <c r="K110" t="s">
        <v>14</v>
      </c>
      <c r="L110" t="s">
        <v>31</v>
      </c>
    </row>
    <row r="111" spans="1:12" x14ac:dyDescent="0.25">
      <c r="A111" t="s">
        <v>151</v>
      </c>
      <c r="B111" t="s">
        <v>430</v>
      </c>
      <c r="C111">
        <v>975581613</v>
      </c>
      <c r="D111">
        <v>250000</v>
      </c>
      <c r="E111" s="1">
        <v>4</v>
      </c>
      <c r="F111" s="1">
        <f t="shared" si="3"/>
        <v>1000000</v>
      </c>
      <c r="G111" s="1">
        <f t="shared" si="4"/>
        <v>12</v>
      </c>
      <c r="H111" s="1">
        <f t="shared" si="5"/>
        <v>51</v>
      </c>
      <c r="I111" s="3">
        <v>45647</v>
      </c>
      <c r="J111" t="s">
        <v>12</v>
      </c>
      <c r="K111" t="s">
        <v>15</v>
      </c>
      <c r="L111" t="s">
        <v>38</v>
      </c>
    </row>
    <row r="112" spans="1:12" x14ac:dyDescent="0.25">
      <c r="A112" t="s">
        <v>152</v>
      </c>
      <c r="B112" t="s">
        <v>431</v>
      </c>
      <c r="C112">
        <v>971066203</v>
      </c>
      <c r="D112">
        <v>250000</v>
      </c>
      <c r="E112" s="1" t="s">
        <v>7</v>
      </c>
      <c r="F112" s="1">
        <f t="shared" si="3"/>
        <v>1000000</v>
      </c>
      <c r="G112" s="1">
        <f t="shared" si="4"/>
        <v>12</v>
      </c>
      <c r="H112" s="1">
        <f t="shared" si="5"/>
        <v>51</v>
      </c>
      <c r="I112" s="3">
        <v>45646</v>
      </c>
      <c r="J112" t="s">
        <v>12</v>
      </c>
      <c r="K112" t="s">
        <v>15</v>
      </c>
      <c r="L112" t="s">
        <v>38</v>
      </c>
    </row>
    <row r="113" spans="1:12" x14ac:dyDescent="0.25">
      <c r="A113" t="s">
        <v>153</v>
      </c>
      <c r="B113" t="s">
        <v>432</v>
      </c>
      <c r="C113">
        <v>986460539</v>
      </c>
      <c r="D113">
        <v>9990000</v>
      </c>
      <c r="E113" s="1" t="s">
        <v>8</v>
      </c>
      <c r="F113" s="1">
        <f t="shared" si="3"/>
        <v>9990000</v>
      </c>
      <c r="G113" s="1">
        <f t="shared" si="4"/>
        <v>12</v>
      </c>
      <c r="H113" s="1">
        <f t="shared" si="5"/>
        <v>51</v>
      </c>
      <c r="I113" s="3">
        <v>45645</v>
      </c>
      <c r="J113" t="s">
        <v>11</v>
      </c>
      <c r="K113" t="s">
        <v>14</v>
      </c>
      <c r="L113" t="s">
        <v>17</v>
      </c>
    </row>
    <row r="114" spans="1:12" x14ac:dyDescent="0.25">
      <c r="A114" t="s">
        <v>154</v>
      </c>
      <c r="B114" t="s">
        <v>433</v>
      </c>
      <c r="C114">
        <v>989968863</v>
      </c>
      <c r="D114">
        <v>28990000</v>
      </c>
      <c r="E114" s="1">
        <v>2</v>
      </c>
      <c r="F114" s="1">
        <f t="shared" si="3"/>
        <v>57980000</v>
      </c>
      <c r="G114" s="1">
        <f t="shared" si="4"/>
        <v>12</v>
      </c>
      <c r="H114" s="1">
        <f t="shared" si="5"/>
        <v>51</v>
      </c>
      <c r="I114" s="3">
        <v>45643</v>
      </c>
      <c r="J114" t="s">
        <v>13</v>
      </c>
      <c r="K114" t="s">
        <v>14</v>
      </c>
      <c r="L114" t="s">
        <v>23</v>
      </c>
    </row>
    <row r="115" spans="1:12" x14ac:dyDescent="0.25">
      <c r="A115" t="s">
        <v>155</v>
      </c>
      <c r="B115" t="s">
        <v>434</v>
      </c>
      <c r="C115">
        <v>997477029</v>
      </c>
      <c r="D115">
        <v>22990000</v>
      </c>
      <c r="E115" s="1">
        <v>1</v>
      </c>
      <c r="F115" s="1">
        <f t="shared" si="3"/>
        <v>22990000</v>
      </c>
      <c r="G115" s="1">
        <f t="shared" si="4"/>
        <v>12</v>
      </c>
      <c r="H115" s="1">
        <f t="shared" si="5"/>
        <v>52</v>
      </c>
      <c r="I115" s="3">
        <v>45651</v>
      </c>
      <c r="J115" t="s">
        <v>11</v>
      </c>
      <c r="K115" t="s">
        <v>14</v>
      </c>
      <c r="L115" t="s">
        <v>41</v>
      </c>
    </row>
    <row r="116" spans="1:12" x14ac:dyDescent="0.25">
      <c r="A116" t="s">
        <v>156</v>
      </c>
      <c r="B116" t="s">
        <v>435</v>
      </c>
      <c r="C116">
        <v>918469210</v>
      </c>
      <c r="D116">
        <v>5290000</v>
      </c>
      <c r="E116" s="1">
        <v>1</v>
      </c>
      <c r="F116" s="1">
        <f t="shared" si="3"/>
        <v>5290000</v>
      </c>
      <c r="G116" s="1">
        <f t="shared" si="4"/>
        <v>12</v>
      </c>
      <c r="H116" s="1">
        <f t="shared" si="5"/>
        <v>52</v>
      </c>
      <c r="I116" s="3">
        <v>45651</v>
      </c>
      <c r="J116" t="s">
        <v>13</v>
      </c>
      <c r="K116" t="s">
        <v>15</v>
      </c>
      <c r="L116" t="s">
        <v>34</v>
      </c>
    </row>
    <row r="117" spans="1:12" x14ac:dyDescent="0.25">
      <c r="A117" t="s">
        <v>157</v>
      </c>
      <c r="B117" t="s">
        <v>436</v>
      </c>
      <c r="C117">
        <v>973560289</v>
      </c>
      <c r="D117">
        <v>2990000</v>
      </c>
      <c r="E117" s="1">
        <v>2</v>
      </c>
      <c r="F117" s="1">
        <f t="shared" si="3"/>
        <v>5980000</v>
      </c>
      <c r="G117" s="1">
        <f t="shared" si="4"/>
        <v>12</v>
      </c>
      <c r="H117" s="1">
        <f t="shared" si="5"/>
        <v>49</v>
      </c>
      <c r="I117" s="3">
        <v>45630</v>
      </c>
      <c r="J117" t="s">
        <v>12</v>
      </c>
      <c r="K117" t="s">
        <v>15</v>
      </c>
      <c r="L117" t="s">
        <v>29</v>
      </c>
    </row>
    <row r="118" spans="1:12" x14ac:dyDescent="0.25">
      <c r="A118" t="s">
        <v>158</v>
      </c>
      <c r="B118" t="s">
        <v>437</v>
      </c>
      <c r="C118">
        <v>986134287</v>
      </c>
      <c r="D118">
        <v>22990000</v>
      </c>
      <c r="E118" s="1">
        <v>2</v>
      </c>
      <c r="F118" s="1">
        <f t="shared" si="3"/>
        <v>45980000</v>
      </c>
      <c r="G118" s="1">
        <f t="shared" si="4"/>
        <v>12</v>
      </c>
      <c r="H118" s="1">
        <f t="shared" si="5"/>
        <v>51</v>
      </c>
      <c r="I118" s="3">
        <v>45646</v>
      </c>
      <c r="J118" t="s">
        <v>13</v>
      </c>
      <c r="K118" t="s">
        <v>14</v>
      </c>
      <c r="L118" t="s">
        <v>41</v>
      </c>
    </row>
    <row r="119" spans="1:12" x14ac:dyDescent="0.25">
      <c r="A119" t="s">
        <v>159</v>
      </c>
      <c r="B119" t="s">
        <v>438</v>
      </c>
      <c r="C119">
        <v>929538047</v>
      </c>
      <c r="D119">
        <v>9990000</v>
      </c>
      <c r="E119" s="1">
        <v>1</v>
      </c>
      <c r="F119" s="1">
        <f t="shared" si="3"/>
        <v>9990000</v>
      </c>
      <c r="G119" s="1">
        <f t="shared" si="4"/>
        <v>12</v>
      </c>
      <c r="H119" s="1">
        <f t="shared" si="5"/>
        <v>51</v>
      </c>
      <c r="I119" s="3">
        <v>45643</v>
      </c>
      <c r="J119" t="s">
        <v>11</v>
      </c>
      <c r="K119" t="s">
        <v>14</v>
      </c>
      <c r="L119" t="s">
        <v>17</v>
      </c>
    </row>
    <row r="120" spans="1:12" x14ac:dyDescent="0.25">
      <c r="A120" t="s">
        <v>160</v>
      </c>
      <c r="B120" t="s">
        <v>439</v>
      </c>
      <c r="C120">
        <v>975609379</v>
      </c>
      <c r="D120">
        <v>28990000</v>
      </c>
      <c r="E120" s="1">
        <v>2</v>
      </c>
      <c r="F120" s="1">
        <f t="shared" si="3"/>
        <v>57980000</v>
      </c>
      <c r="G120" s="1">
        <f t="shared" si="4"/>
        <v>12</v>
      </c>
      <c r="H120" s="1">
        <f t="shared" si="5"/>
        <v>53</v>
      </c>
      <c r="I120" s="3">
        <v>45655</v>
      </c>
      <c r="J120" t="s">
        <v>11</v>
      </c>
      <c r="K120" t="s">
        <v>14</v>
      </c>
      <c r="L120" t="s">
        <v>23</v>
      </c>
    </row>
    <row r="121" spans="1:12" x14ac:dyDescent="0.25">
      <c r="A121" t="s">
        <v>161</v>
      </c>
      <c r="B121" t="s">
        <v>440</v>
      </c>
      <c r="C121">
        <v>938375916</v>
      </c>
      <c r="D121">
        <v>5290000</v>
      </c>
      <c r="E121" s="1">
        <v>4</v>
      </c>
      <c r="F121" s="1">
        <f t="shared" si="3"/>
        <v>21160000</v>
      </c>
      <c r="G121" s="1">
        <f t="shared" si="4"/>
        <v>12</v>
      </c>
      <c r="H121" s="1">
        <f t="shared" si="5"/>
        <v>53</v>
      </c>
      <c r="I121" s="3">
        <v>45655</v>
      </c>
      <c r="J121" t="s">
        <v>13</v>
      </c>
      <c r="K121" t="s">
        <v>15</v>
      </c>
      <c r="L121" t="s">
        <v>34</v>
      </c>
    </row>
    <row r="122" spans="1:12" x14ac:dyDescent="0.25">
      <c r="A122" t="s">
        <v>162</v>
      </c>
      <c r="B122" t="s">
        <v>441</v>
      </c>
      <c r="C122">
        <v>973297813</v>
      </c>
      <c r="D122">
        <v>250000</v>
      </c>
      <c r="E122" s="1" t="s">
        <v>6</v>
      </c>
      <c r="F122" s="1">
        <f t="shared" si="3"/>
        <v>500000</v>
      </c>
      <c r="G122" s="1">
        <f t="shared" si="4"/>
        <v>12</v>
      </c>
      <c r="H122" s="1">
        <f t="shared" si="5"/>
        <v>52</v>
      </c>
      <c r="I122" s="3">
        <v>45650</v>
      </c>
      <c r="J122" t="s">
        <v>12</v>
      </c>
      <c r="K122" t="s">
        <v>15</v>
      </c>
      <c r="L122" t="s">
        <v>38</v>
      </c>
    </row>
    <row r="123" spans="1:12" x14ac:dyDescent="0.25">
      <c r="A123" t="s">
        <v>163</v>
      </c>
      <c r="B123" t="s">
        <v>442</v>
      </c>
      <c r="C123">
        <v>918715975</v>
      </c>
      <c r="D123">
        <v>450000</v>
      </c>
      <c r="E123" s="1">
        <v>3</v>
      </c>
      <c r="F123" s="1">
        <f t="shared" si="3"/>
        <v>1350000</v>
      </c>
      <c r="G123" s="1">
        <f t="shared" si="4"/>
        <v>12</v>
      </c>
      <c r="H123" s="1">
        <f t="shared" si="5"/>
        <v>51</v>
      </c>
      <c r="I123" s="3">
        <v>45644</v>
      </c>
      <c r="J123" t="s">
        <v>11</v>
      </c>
      <c r="K123" t="s">
        <v>15</v>
      </c>
      <c r="L123" t="s">
        <v>28</v>
      </c>
    </row>
    <row r="124" spans="1:12" x14ac:dyDescent="0.25">
      <c r="A124" t="s">
        <v>164</v>
      </c>
      <c r="B124" t="s">
        <v>443</v>
      </c>
      <c r="C124">
        <v>978829070</v>
      </c>
      <c r="D124">
        <v>150000</v>
      </c>
      <c r="E124" s="1">
        <v>4</v>
      </c>
      <c r="F124" s="1">
        <f t="shared" si="3"/>
        <v>600000</v>
      </c>
      <c r="G124" s="1">
        <f t="shared" si="4"/>
        <v>12</v>
      </c>
      <c r="H124" s="1">
        <f t="shared" si="5"/>
        <v>51</v>
      </c>
      <c r="I124" s="3">
        <v>45641</v>
      </c>
      <c r="J124" t="s">
        <v>12</v>
      </c>
      <c r="K124" t="s">
        <v>15</v>
      </c>
      <c r="L124" t="s">
        <v>32</v>
      </c>
    </row>
    <row r="125" spans="1:12" x14ac:dyDescent="0.25">
      <c r="A125" t="s">
        <v>165</v>
      </c>
      <c r="B125" t="s">
        <v>444</v>
      </c>
      <c r="C125">
        <v>972005415</v>
      </c>
      <c r="D125">
        <v>8900000</v>
      </c>
      <c r="E125" s="1" t="s">
        <v>6</v>
      </c>
      <c r="F125" s="1">
        <f t="shared" si="3"/>
        <v>17800000</v>
      </c>
      <c r="G125" s="1">
        <f t="shared" si="4"/>
        <v>12</v>
      </c>
      <c r="H125" s="1">
        <f t="shared" si="5"/>
        <v>49</v>
      </c>
      <c r="I125" s="3">
        <v>45628</v>
      </c>
      <c r="J125" t="s">
        <v>11</v>
      </c>
      <c r="K125" t="s">
        <v>16</v>
      </c>
      <c r="L125" t="s">
        <v>26</v>
      </c>
    </row>
    <row r="126" spans="1:12" x14ac:dyDescent="0.25">
      <c r="A126" t="s">
        <v>166</v>
      </c>
      <c r="B126" t="s">
        <v>445</v>
      </c>
      <c r="C126">
        <v>924972279</v>
      </c>
      <c r="D126">
        <v>12500000</v>
      </c>
      <c r="E126" s="1">
        <v>2</v>
      </c>
      <c r="F126" s="1">
        <f t="shared" si="3"/>
        <v>25000000</v>
      </c>
      <c r="G126" s="1">
        <f t="shared" si="4"/>
        <v>12</v>
      </c>
      <c r="H126" s="1">
        <f t="shared" si="5"/>
        <v>50</v>
      </c>
      <c r="I126" s="3">
        <v>45640</v>
      </c>
      <c r="J126" t="s">
        <v>11</v>
      </c>
      <c r="K126" t="s">
        <v>16</v>
      </c>
      <c r="L126" t="s">
        <v>25</v>
      </c>
    </row>
    <row r="127" spans="1:12" x14ac:dyDescent="0.25">
      <c r="A127" t="s">
        <v>167</v>
      </c>
      <c r="B127" t="s">
        <v>446</v>
      </c>
      <c r="C127">
        <v>933002714</v>
      </c>
      <c r="D127">
        <v>28990000</v>
      </c>
      <c r="E127" s="1" t="s">
        <v>6</v>
      </c>
      <c r="F127" s="1">
        <f t="shared" si="3"/>
        <v>57980000</v>
      </c>
      <c r="G127" s="1">
        <f t="shared" si="4"/>
        <v>12</v>
      </c>
      <c r="H127" s="1">
        <f t="shared" si="5"/>
        <v>51</v>
      </c>
      <c r="I127" s="3">
        <v>45642</v>
      </c>
      <c r="J127" t="s">
        <v>13</v>
      </c>
      <c r="K127" t="s">
        <v>14</v>
      </c>
      <c r="L127" t="s">
        <v>23</v>
      </c>
    </row>
    <row r="128" spans="1:12" x14ac:dyDescent="0.25">
      <c r="A128" t="s">
        <v>168</v>
      </c>
      <c r="B128" t="s">
        <v>447</v>
      </c>
      <c r="C128">
        <v>960192261</v>
      </c>
      <c r="D128">
        <v>9990000</v>
      </c>
      <c r="E128" s="1">
        <v>2</v>
      </c>
      <c r="F128" s="1">
        <f t="shared" si="3"/>
        <v>19980000</v>
      </c>
      <c r="G128" s="1">
        <f t="shared" si="4"/>
        <v>12</v>
      </c>
      <c r="H128" s="1">
        <f t="shared" si="5"/>
        <v>50</v>
      </c>
      <c r="I128" s="3">
        <v>45639</v>
      </c>
      <c r="J128" t="s">
        <v>13</v>
      </c>
      <c r="K128" t="s">
        <v>14</v>
      </c>
      <c r="L128" t="s">
        <v>17</v>
      </c>
    </row>
    <row r="129" spans="1:12" x14ac:dyDescent="0.25">
      <c r="A129" t="s">
        <v>169</v>
      </c>
      <c r="B129" t="s">
        <v>448</v>
      </c>
      <c r="C129">
        <v>916679008</v>
      </c>
      <c r="D129">
        <v>2990000</v>
      </c>
      <c r="E129" s="1" t="s">
        <v>7</v>
      </c>
      <c r="F129" s="1">
        <f t="shared" si="3"/>
        <v>11960000</v>
      </c>
      <c r="G129" s="1">
        <f t="shared" si="4"/>
        <v>3</v>
      </c>
      <c r="H129" s="1">
        <f t="shared" si="5"/>
        <v>11</v>
      </c>
      <c r="I129" s="3">
        <v>45363</v>
      </c>
      <c r="J129" t="s">
        <v>11</v>
      </c>
      <c r="K129" t="s">
        <v>15</v>
      </c>
      <c r="L129" t="s">
        <v>29</v>
      </c>
    </row>
    <row r="130" spans="1:12" x14ac:dyDescent="0.25">
      <c r="A130" t="s">
        <v>170</v>
      </c>
      <c r="B130" t="s">
        <v>449</v>
      </c>
      <c r="C130">
        <v>990115852</v>
      </c>
      <c r="D130">
        <v>150000</v>
      </c>
      <c r="E130" s="1" t="s">
        <v>10</v>
      </c>
      <c r="F130" s="1">
        <f t="shared" ref="F130:F193" si="6">(E130)*(D130)</f>
        <v>750000</v>
      </c>
      <c r="G130" s="1">
        <f t="shared" ref="G130:G193" si="7">MONTH(I130)</f>
        <v>12</v>
      </c>
      <c r="H130" s="1">
        <f t="shared" ref="H130:H193" si="8">WEEKNUM(I130)</f>
        <v>50</v>
      </c>
      <c r="I130" s="3">
        <v>45635</v>
      </c>
      <c r="J130" t="s">
        <v>13</v>
      </c>
      <c r="K130" t="s">
        <v>15</v>
      </c>
      <c r="L130" t="s">
        <v>32</v>
      </c>
    </row>
    <row r="131" spans="1:12" x14ac:dyDescent="0.25">
      <c r="A131" t="s">
        <v>171</v>
      </c>
      <c r="B131" t="s">
        <v>450</v>
      </c>
      <c r="C131">
        <v>939742165</v>
      </c>
      <c r="D131">
        <v>8990000</v>
      </c>
      <c r="E131" s="1" t="s">
        <v>6</v>
      </c>
      <c r="F131" s="1">
        <f t="shared" si="6"/>
        <v>17980000</v>
      </c>
      <c r="G131" s="1">
        <f t="shared" si="7"/>
        <v>12</v>
      </c>
      <c r="H131" s="1">
        <f t="shared" si="8"/>
        <v>52</v>
      </c>
      <c r="I131" s="3">
        <v>45649</v>
      </c>
      <c r="J131" t="s">
        <v>12</v>
      </c>
      <c r="K131" t="s">
        <v>16</v>
      </c>
      <c r="L131" t="s">
        <v>39</v>
      </c>
    </row>
    <row r="132" spans="1:12" x14ac:dyDescent="0.25">
      <c r="A132" t="s">
        <v>172</v>
      </c>
      <c r="B132" t="s">
        <v>451</v>
      </c>
      <c r="C132">
        <v>994819556</v>
      </c>
      <c r="D132">
        <v>890000</v>
      </c>
      <c r="E132" s="1">
        <v>2</v>
      </c>
      <c r="F132" s="1">
        <f t="shared" si="6"/>
        <v>1780000</v>
      </c>
      <c r="G132" s="1">
        <f t="shared" si="7"/>
        <v>12</v>
      </c>
      <c r="H132" s="1">
        <f t="shared" si="8"/>
        <v>51</v>
      </c>
      <c r="I132" s="3">
        <v>45645</v>
      </c>
      <c r="J132" t="s">
        <v>11</v>
      </c>
      <c r="K132" t="s">
        <v>15</v>
      </c>
      <c r="L132" t="s">
        <v>40</v>
      </c>
    </row>
    <row r="133" spans="1:12" x14ac:dyDescent="0.25">
      <c r="A133" t="s">
        <v>173</v>
      </c>
      <c r="B133" t="s">
        <v>452</v>
      </c>
      <c r="C133">
        <v>935805259</v>
      </c>
      <c r="D133">
        <v>9990000</v>
      </c>
      <c r="E133" s="1">
        <v>2</v>
      </c>
      <c r="F133" s="1">
        <f t="shared" si="6"/>
        <v>19980000</v>
      </c>
      <c r="G133" s="1">
        <f t="shared" si="7"/>
        <v>12</v>
      </c>
      <c r="H133" s="1">
        <f t="shared" si="8"/>
        <v>50</v>
      </c>
      <c r="I133" s="3">
        <v>45635</v>
      </c>
      <c r="J133" t="s">
        <v>12</v>
      </c>
      <c r="K133" t="s">
        <v>14</v>
      </c>
      <c r="L133" t="s">
        <v>17</v>
      </c>
    </row>
    <row r="134" spans="1:12" x14ac:dyDescent="0.25">
      <c r="A134" t="s">
        <v>174</v>
      </c>
      <c r="B134" t="s">
        <v>453</v>
      </c>
      <c r="C134">
        <v>961700055</v>
      </c>
      <c r="D134">
        <v>280000</v>
      </c>
      <c r="E134" s="1" t="s">
        <v>8</v>
      </c>
      <c r="F134" s="1">
        <f t="shared" si="6"/>
        <v>280000</v>
      </c>
      <c r="G134" s="1">
        <f t="shared" si="7"/>
        <v>7</v>
      </c>
      <c r="H134" s="1">
        <f t="shared" si="8"/>
        <v>28</v>
      </c>
      <c r="I134" s="3">
        <v>45485</v>
      </c>
      <c r="J134" t="s">
        <v>11</v>
      </c>
      <c r="K134" t="s">
        <v>15</v>
      </c>
      <c r="L134" t="s">
        <v>37</v>
      </c>
    </row>
    <row r="135" spans="1:12" x14ac:dyDescent="0.25">
      <c r="A135" t="s">
        <v>175</v>
      </c>
      <c r="B135" t="s">
        <v>454</v>
      </c>
      <c r="C135">
        <v>925253751</v>
      </c>
      <c r="D135">
        <v>250000</v>
      </c>
      <c r="E135" s="1">
        <v>4</v>
      </c>
      <c r="F135" s="1">
        <f t="shared" si="6"/>
        <v>1000000</v>
      </c>
      <c r="G135" s="1">
        <f t="shared" si="7"/>
        <v>3</v>
      </c>
      <c r="H135" s="1">
        <f t="shared" si="8"/>
        <v>11</v>
      </c>
      <c r="I135" s="3">
        <v>45363</v>
      </c>
      <c r="J135" t="s">
        <v>13</v>
      </c>
      <c r="K135" t="s">
        <v>15</v>
      </c>
      <c r="L135" t="s">
        <v>38</v>
      </c>
    </row>
    <row r="136" spans="1:12" x14ac:dyDescent="0.25">
      <c r="A136" t="s">
        <v>176</v>
      </c>
      <c r="B136" t="s">
        <v>455</v>
      </c>
      <c r="C136">
        <v>916416148</v>
      </c>
      <c r="D136">
        <v>3990000</v>
      </c>
      <c r="E136" s="1">
        <v>1</v>
      </c>
      <c r="F136" s="1">
        <f t="shared" si="6"/>
        <v>3990000</v>
      </c>
      <c r="G136" s="1">
        <f t="shared" si="7"/>
        <v>11</v>
      </c>
      <c r="H136" s="1">
        <f t="shared" si="8"/>
        <v>46</v>
      </c>
      <c r="I136" s="3">
        <v>45608</v>
      </c>
      <c r="J136" t="s">
        <v>12</v>
      </c>
      <c r="K136" t="s">
        <v>15</v>
      </c>
      <c r="L136" t="s">
        <v>33</v>
      </c>
    </row>
    <row r="137" spans="1:12" x14ac:dyDescent="0.25">
      <c r="A137" t="s">
        <v>177</v>
      </c>
      <c r="B137" t="s">
        <v>456</v>
      </c>
      <c r="C137">
        <v>912944682</v>
      </c>
      <c r="D137">
        <v>2990000</v>
      </c>
      <c r="E137" s="1" t="s">
        <v>8</v>
      </c>
      <c r="F137" s="1">
        <f t="shared" si="6"/>
        <v>2990000</v>
      </c>
      <c r="G137" s="1">
        <f t="shared" si="7"/>
        <v>12</v>
      </c>
      <c r="H137" s="1">
        <f t="shared" si="8"/>
        <v>50</v>
      </c>
      <c r="I137" s="3">
        <v>45639</v>
      </c>
      <c r="J137" t="s">
        <v>11</v>
      </c>
      <c r="K137" t="s">
        <v>15</v>
      </c>
      <c r="L137" t="s">
        <v>29</v>
      </c>
    </row>
    <row r="138" spans="1:12" x14ac:dyDescent="0.25">
      <c r="A138" t="s">
        <v>178</v>
      </c>
      <c r="B138" t="s">
        <v>457</v>
      </c>
      <c r="C138">
        <v>952704903</v>
      </c>
      <c r="D138">
        <v>250000</v>
      </c>
      <c r="E138" s="1">
        <v>4</v>
      </c>
      <c r="F138" s="1">
        <f t="shared" si="6"/>
        <v>1000000</v>
      </c>
      <c r="G138" s="1">
        <f t="shared" si="7"/>
        <v>12</v>
      </c>
      <c r="H138" s="1">
        <f t="shared" si="8"/>
        <v>51</v>
      </c>
      <c r="I138" s="3">
        <v>45642</v>
      </c>
      <c r="J138" t="s">
        <v>11</v>
      </c>
      <c r="K138" t="s">
        <v>15</v>
      </c>
      <c r="L138" t="s">
        <v>38</v>
      </c>
    </row>
    <row r="139" spans="1:12" x14ac:dyDescent="0.25">
      <c r="A139" t="s">
        <v>179</v>
      </c>
      <c r="B139" t="s">
        <v>458</v>
      </c>
      <c r="C139">
        <v>943704923</v>
      </c>
      <c r="D139">
        <v>22990000</v>
      </c>
      <c r="E139" s="1">
        <v>2</v>
      </c>
      <c r="F139" s="1">
        <f t="shared" si="6"/>
        <v>45980000</v>
      </c>
      <c r="G139" s="1">
        <f t="shared" si="7"/>
        <v>12</v>
      </c>
      <c r="H139" s="1">
        <f t="shared" si="8"/>
        <v>49</v>
      </c>
      <c r="I139" s="3">
        <v>45629</v>
      </c>
      <c r="J139" t="s">
        <v>12</v>
      </c>
      <c r="K139" t="s">
        <v>14</v>
      </c>
      <c r="L139" t="s">
        <v>41</v>
      </c>
    </row>
    <row r="140" spans="1:12" x14ac:dyDescent="0.25">
      <c r="A140" t="s">
        <v>180</v>
      </c>
      <c r="B140" t="s">
        <v>459</v>
      </c>
      <c r="C140">
        <v>936738452</v>
      </c>
      <c r="D140">
        <v>8990000</v>
      </c>
      <c r="E140" s="1">
        <v>1</v>
      </c>
      <c r="F140" s="1">
        <f t="shared" si="6"/>
        <v>8990000</v>
      </c>
      <c r="G140" s="1">
        <f t="shared" si="7"/>
        <v>12</v>
      </c>
      <c r="H140" s="1">
        <f t="shared" si="8"/>
        <v>52</v>
      </c>
      <c r="I140" s="3">
        <v>45654</v>
      </c>
      <c r="J140" t="s">
        <v>12</v>
      </c>
      <c r="K140" t="s">
        <v>16</v>
      </c>
      <c r="L140" t="s">
        <v>39</v>
      </c>
    </row>
    <row r="141" spans="1:12" x14ac:dyDescent="0.25">
      <c r="A141" t="s">
        <v>181</v>
      </c>
      <c r="B141" t="s">
        <v>460</v>
      </c>
      <c r="C141">
        <v>924660143</v>
      </c>
      <c r="D141">
        <v>80000</v>
      </c>
      <c r="E141" s="1">
        <v>2</v>
      </c>
      <c r="F141" s="1">
        <f t="shared" si="6"/>
        <v>160000</v>
      </c>
      <c r="G141" s="1">
        <f t="shared" si="7"/>
        <v>12</v>
      </c>
      <c r="H141" s="1">
        <f t="shared" si="8"/>
        <v>52</v>
      </c>
      <c r="I141" s="3">
        <v>45650</v>
      </c>
      <c r="J141" t="s">
        <v>11</v>
      </c>
      <c r="K141" t="s">
        <v>15</v>
      </c>
      <c r="L141" t="s">
        <v>21</v>
      </c>
    </row>
    <row r="142" spans="1:12" x14ac:dyDescent="0.25">
      <c r="A142" t="s">
        <v>182</v>
      </c>
      <c r="B142" t="s">
        <v>461</v>
      </c>
      <c r="C142">
        <v>960237832</v>
      </c>
      <c r="D142">
        <v>25990000</v>
      </c>
      <c r="E142" s="1">
        <v>1</v>
      </c>
      <c r="F142" s="1">
        <f t="shared" si="6"/>
        <v>25990000</v>
      </c>
      <c r="G142" s="1">
        <f t="shared" si="7"/>
        <v>12</v>
      </c>
      <c r="H142" s="1">
        <f t="shared" si="8"/>
        <v>52</v>
      </c>
      <c r="I142" s="3">
        <v>45648</v>
      </c>
      <c r="J142" t="s">
        <v>13</v>
      </c>
      <c r="K142" t="s">
        <v>14</v>
      </c>
      <c r="L142" t="s">
        <v>31</v>
      </c>
    </row>
    <row r="143" spans="1:12" x14ac:dyDescent="0.25">
      <c r="A143" t="s">
        <v>183</v>
      </c>
      <c r="B143" t="s">
        <v>462</v>
      </c>
      <c r="C143">
        <v>929413516</v>
      </c>
      <c r="D143">
        <v>8990000</v>
      </c>
      <c r="E143" s="1">
        <v>1</v>
      </c>
      <c r="F143" s="1">
        <f t="shared" si="6"/>
        <v>8990000</v>
      </c>
      <c r="G143" s="1">
        <f t="shared" si="7"/>
        <v>12</v>
      </c>
      <c r="H143" s="1">
        <f t="shared" si="8"/>
        <v>49</v>
      </c>
      <c r="I143" s="3">
        <v>45633</v>
      </c>
      <c r="J143" t="s">
        <v>12</v>
      </c>
      <c r="K143" t="s">
        <v>16</v>
      </c>
      <c r="L143" t="s">
        <v>39</v>
      </c>
    </row>
    <row r="144" spans="1:12" x14ac:dyDescent="0.25">
      <c r="A144" t="s">
        <v>184</v>
      </c>
      <c r="B144" t="s">
        <v>463</v>
      </c>
      <c r="C144">
        <v>938876195</v>
      </c>
      <c r="D144">
        <v>280000</v>
      </c>
      <c r="E144" s="1">
        <v>1</v>
      </c>
      <c r="F144" s="1">
        <f t="shared" si="6"/>
        <v>280000</v>
      </c>
      <c r="G144" s="1">
        <f t="shared" si="7"/>
        <v>12</v>
      </c>
      <c r="H144" s="1">
        <f t="shared" si="8"/>
        <v>50</v>
      </c>
      <c r="I144" s="3">
        <v>45638</v>
      </c>
      <c r="J144" t="s">
        <v>11</v>
      </c>
      <c r="K144" t="s">
        <v>15</v>
      </c>
      <c r="L144" t="s">
        <v>37</v>
      </c>
    </row>
    <row r="145" spans="1:12" x14ac:dyDescent="0.25">
      <c r="A145" t="s">
        <v>185</v>
      </c>
      <c r="B145" t="s">
        <v>464</v>
      </c>
      <c r="C145">
        <v>971968116</v>
      </c>
      <c r="D145">
        <v>15990000</v>
      </c>
      <c r="E145" s="1">
        <v>2</v>
      </c>
      <c r="F145" s="1">
        <f t="shared" si="6"/>
        <v>31980000</v>
      </c>
      <c r="G145" s="1">
        <f t="shared" si="7"/>
        <v>2</v>
      </c>
      <c r="H145" s="1">
        <f t="shared" si="8"/>
        <v>7</v>
      </c>
      <c r="I145" s="3">
        <v>45334</v>
      </c>
      <c r="J145" t="s">
        <v>12</v>
      </c>
      <c r="K145" t="s">
        <v>14</v>
      </c>
      <c r="L145" t="s">
        <v>22</v>
      </c>
    </row>
    <row r="146" spans="1:12" x14ac:dyDescent="0.25">
      <c r="A146" t="s">
        <v>186</v>
      </c>
      <c r="B146" t="s">
        <v>465</v>
      </c>
      <c r="C146">
        <v>952462441</v>
      </c>
      <c r="D146">
        <v>6990000</v>
      </c>
      <c r="E146" s="1">
        <v>2</v>
      </c>
      <c r="F146" s="1">
        <f t="shared" si="6"/>
        <v>13980000</v>
      </c>
      <c r="G146" s="1">
        <f t="shared" si="7"/>
        <v>12</v>
      </c>
      <c r="H146" s="1">
        <f t="shared" si="8"/>
        <v>49</v>
      </c>
      <c r="I146" s="3">
        <v>45633</v>
      </c>
      <c r="J146" t="s">
        <v>13</v>
      </c>
      <c r="K146" t="s">
        <v>14</v>
      </c>
      <c r="L146" t="s">
        <v>35</v>
      </c>
    </row>
    <row r="147" spans="1:12" x14ac:dyDescent="0.25">
      <c r="A147" t="s">
        <v>187</v>
      </c>
      <c r="B147" t="s">
        <v>466</v>
      </c>
      <c r="C147">
        <v>915140967</v>
      </c>
      <c r="D147">
        <v>12500000</v>
      </c>
      <c r="E147" s="1" t="s">
        <v>8</v>
      </c>
      <c r="F147" s="1">
        <f t="shared" si="6"/>
        <v>12500000</v>
      </c>
      <c r="G147" s="1">
        <f t="shared" si="7"/>
        <v>12</v>
      </c>
      <c r="H147" s="1">
        <f t="shared" si="8"/>
        <v>53</v>
      </c>
      <c r="I147" s="3">
        <v>45656</v>
      </c>
      <c r="J147" t="s">
        <v>11</v>
      </c>
      <c r="K147" t="s">
        <v>16</v>
      </c>
      <c r="L147" t="s">
        <v>25</v>
      </c>
    </row>
    <row r="148" spans="1:12" x14ac:dyDescent="0.25">
      <c r="A148" t="s">
        <v>188</v>
      </c>
      <c r="B148" t="s">
        <v>467</v>
      </c>
      <c r="C148">
        <v>935504548</v>
      </c>
      <c r="D148">
        <v>250000</v>
      </c>
      <c r="E148" s="1">
        <v>4</v>
      </c>
      <c r="F148" s="1">
        <f t="shared" si="6"/>
        <v>1000000</v>
      </c>
      <c r="G148" s="1">
        <f t="shared" si="7"/>
        <v>12</v>
      </c>
      <c r="H148" s="1">
        <f t="shared" si="8"/>
        <v>49</v>
      </c>
      <c r="I148" s="3">
        <v>45630</v>
      </c>
      <c r="J148" t="s">
        <v>11</v>
      </c>
      <c r="K148" t="s">
        <v>15</v>
      </c>
      <c r="L148" t="s">
        <v>38</v>
      </c>
    </row>
    <row r="149" spans="1:12" x14ac:dyDescent="0.25">
      <c r="A149" t="s">
        <v>189</v>
      </c>
      <c r="B149" t="s">
        <v>468</v>
      </c>
      <c r="C149">
        <v>964953237</v>
      </c>
      <c r="D149">
        <v>280000</v>
      </c>
      <c r="E149" s="1" t="s">
        <v>9</v>
      </c>
      <c r="F149" s="1">
        <f t="shared" si="6"/>
        <v>840000</v>
      </c>
      <c r="G149" s="1">
        <f t="shared" si="7"/>
        <v>12</v>
      </c>
      <c r="H149" s="1">
        <f t="shared" si="8"/>
        <v>49</v>
      </c>
      <c r="I149" s="3">
        <v>45629</v>
      </c>
      <c r="J149" t="s">
        <v>12</v>
      </c>
      <c r="K149" t="s">
        <v>15</v>
      </c>
      <c r="L149" t="s">
        <v>37</v>
      </c>
    </row>
    <row r="150" spans="1:12" x14ac:dyDescent="0.25">
      <c r="A150" t="s">
        <v>190</v>
      </c>
      <c r="B150" t="s">
        <v>469</v>
      </c>
      <c r="C150">
        <v>954013571</v>
      </c>
      <c r="D150">
        <v>28990000</v>
      </c>
      <c r="E150" s="1">
        <v>1</v>
      </c>
      <c r="F150" s="1">
        <f t="shared" si="6"/>
        <v>28990000</v>
      </c>
      <c r="G150" s="1">
        <f t="shared" si="7"/>
        <v>12</v>
      </c>
      <c r="H150" s="1">
        <f t="shared" si="8"/>
        <v>50</v>
      </c>
      <c r="I150" s="3">
        <v>45639</v>
      </c>
      <c r="J150" t="s">
        <v>12</v>
      </c>
      <c r="K150" t="s">
        <v>14</v>
      </c>
      <c r="L150" t="s">
        <v>23</v>
      </c>
    </row>
    <row r="151" spans="1:12" x14ac:dyDescent="0.25">
      <c r="A151" t="s">
        <v>191</v>
      </c>
      <c r="B151" t="s">
        <v>470</v>
      </c>
      <c r="C151">
        <v>980361272</v>
      </c>
      <c r="D151">
        <v>3990000</v>
      </c>
      <c r="E151" s="1">
        <v>4</v>
      </c>
      <c r="F151" s="1">
        <f t="shared" si="6"/>
        <v>15960000</v>
      </c>
      <c r="G151" s="1">
        <f t="shared" si="7"/>
        <v>12</v>
      </c>
      <c r="H151" s="1">
        <f t="shared" si="8"/>
        <v>52</v>
      </c>
      <c r="I151" s="3">
        <v>45650</v>
      </c>
      <c r="J151" t="s">
        <v>13</v>
      </c>
      <c r="K151" t="s">
        <v>15</v>
      </c>
      <c r="L151" t="s">
        <v>33</v>
      </c>
    </row>
    <row r="152" spans="1:12" x14ac:dyDescent="0.25">
      <c r="A152" t="s">
        <v>192</v>
      </c>
      <c r="B152" t="s">
        <v>471</v>
      </c>
      <c r="C152">
        <v>964614193</v>
      </c>
      <c r="D152">
        <v>3990000</v>
      </c>
      <c r="E152" s="1" t="s">
        <v>7</v>
      </c>
      <c r="F152" s="1">
        <f t="shared" si="6"/>
        <v>15960000</v>
      </c>
      <c r="G152" s="1">
        <f t="shared" si="7"/>
        <v>12</v>
      </c>
      <c r="H152" s="1">
        <f t="shared" si="8"/>
        <v>53</v>
      </c>
      <c r="I152" s="3">
        <v>45656</v>
      </c>
      <c r="J152" t="s">
        <v>12</v>
      </c>
      <c r="K152" t="s">
        <v>15</v>
      </c>
      <c r="L152" t="s">
        <v>33</v>
      </c>
    </row>
    <row r="153" spans="1:12" x14ac:dyDescent="0.25">
      <c r="A153" t="s">
        <v>193</v>
      </c>
      <c r="B153" t="s">
        <v>472</v>
      </c>
      <c r="C153">
        <v>983832717</v>
      </c>
      <c r="D153">
        <v>22990000</v>
      </c>
      <c r="E153" s="1">
        <v>2</v>
      </c>
      <c r="F153" s="1">
        <f t="shared" si="6"/>
        <v>45980000</v>
      </c>
      <c r="G153" s="1">
        <f t="shared" si="7"/>
        <v>12</v>
      </c>
      <c r="H153" s="1">
        <f t="shared" si="8"/>
        <v>51</v>
      </c>
      <c r="I153" s="3">
        <v>45641</v>
      </c>
      <c r="J153" t="s">
        <v>12</v>
      </c>
      <c r="K153" t="s">
        <v>14</v>
      </c>
      <c r="L153" t="s">
        <v>41</v>
      </c>
    </row>
    <row r="154" spans="1:12" x14ac:dyDescent="0.25">
      <c r="A154" t="s">
        <v>194</v>
      </c>
      <c r="B154" t="s">
        <v>473</v>
      </c>
      <c r="C154">
        <v>919801857</v>
      </c>
      <c r="D154">
        <v>22990000</v>
      </c>
      <c r="E154" s="1" t="s">
        <v>8</v>
      </c>
      <c r="F154" s="1">
        <f t="shared" si="6"/>
        <v>22990000</v>
      </c>
      <c r="G154" s="1">
        <f t="shared" si="7"/>
        <v>12</v>
      </c>
      <c r="H154" s="1">
        <f t="shared" si="8"/>
        <v>50</v>
      </c>
      <c r="I154" s="3">
        <v>45640</v>
      </c>
      <c r="J154" t="s">
        <v>13</v>
      </c>
      <c r="K154" t="s">
        <v>14</v>
      </c>
      <c r="L154" t="s">
        <v>41</v>
      </c>
    </row>
    <row r="155" spans="1:12" x14ac:dyDescent="0.25">
      <c r="A155" t="s">
        <v>195</v>
      </c>
      <c r="B155" t="s">
        <v>474</v>
      </c>
      <c r="C155">
        <v>978131950</v>
      </c>
      <c r="D155">
        <v>450000</v>
      </c>
      <c r="E155" s="1">
        <v>4</v>
      </c>
      <c r="F155" s="1">
        <f t="shared" si="6"/>
        <v>1800000</v>
      </c>
      <c r="G155" s="1">
        <f t="shared" si="7"/>
        <v>1</v>
      </c>
      <c r="H155" s="1">
        <f t="shared" si="8"/>
        <v>2</v>
      </c>
      <c r="I155" s="3">
        <v>45303</v>
      </c>
      <c r="J155" t="s">
        <v>12</v>
      </c>
      <c r="K155" t="s">
        <v>15</v>
      </c>
      <c r="L155" t="s">
        <v>28</v>
      </c>
    </row>
    <row r="156" spans="1:12" x14ac:dyDescent="0.25">
      <c r="A156" t="s">
        <v>196</v>
      </c>
      <c r="B156" t="s">
        <v>475</v>
      </c>
      <c r="C156">
        <v>978093604</v>
      </c>
      <c r="D156">
        <v>28990000</v>
      </c>
      <c r="E156" s="1">
        <v>2</v>
      </c>
      <c r="F156" s="1">
        <f t="shared" si="6"/>
        <v>57980000</v>
      </c>
      <c r="G156" s="1">
        <f t="shared" si="7"/>
        <v>10</v>
      </c>
      <c r="H156" s="1">
        <f t="shared" si="8"/>
        <v>41</v>
      </c>
      <c r="I156" s="3">
        <v>45577</v>
      </c>
      <c r="J156" t="s">
        <v>12</v>
      </c>
      <c r="K156" t="s">
        <v>14</v>
      </c>
      <c r="L156" t="s">
        <v>23</v>
      </c>
    </row>
    <row r="157" spans="1:12" x14ac:dyDescent="0.25">
      <c r="A157" t="s">
        <v>197</v>
      </c>
      <c r="B157" t="s">
        <v>476</v>
      </c>
      <c r="C157">
        <v>912059919</v>
      </c>
      <c r="D157">
        <v>250000</v>
      </c>
      <c r="E157" s="1">
        <v>2</v>
      </c>
      <c r="F157" s="1">
        <f t="shared" si="6"/>
        <v>500000</v>
      </c>
      <c r="G157" s="1">
        <f t="shared" si="7"/>
        <v>5</v>
      </c>
      <c r="H157" s="1">
        <f t="shared" si="8"/>
        <v>20</v>
      </c>
      <c r="I157" s="3">
        <v>45424</v>
      </c>
      <c r="J157" t="s">
        <v>12</v>
      </c>
      <c r="K157" t="s">
        <v>15</v>
      </c>
      <c r="L157" t="s">
        <v>38</v>
      </c>
    </row>
    <row r="158" spans="1:12" x14ac:dyDescent="0.25">
      <c r="A158" t="s">
        <v>198</v>
      </c>
      <c r="B158" t="s">
        <v>477</v>
      </c>
      <c r="C158">
        <v>920939011</v>
      </c>
      <c r="D158">
        <v>280000</v>
      </c>
      <c r="E158" s="1">
        <v>3</v>
      </c>
      <c r="F158" s="1">
        <f t="shared" si="6"/>
        <v>840000</v>
      </c>
      <c r="G158" s="1">
        <f t="shared" si="7"/>
        <v>12</v>
      </c>
      <c r="H158" s="1">
        <f t="shared" si="8"/>
        <v>52</v>
      </c>
      <c r="I158" s="3">
        <v>45648</v>
      </c>
      <c r="J158" t="s">
        <v>11</v>
      </c>
      <c r="K158" t="s">
        <v>15</v>
      </c>
      <c r="L158" t="s">
        <v>37</v>
      </c>
    </row>
    <row r="159" spans="1:12" x14ac:dyDescent="0.25">
      <c r="A159" t="s">
        <v>199</v>
      </c>
      <c r="B159" t="s">
        <v>478</v>
      </c>
      <c r="C159">
        <v>996031876</v>
      </c>
      <c r="D159">
        <v>15990000</v>
      </c>
      <c r="E159" s="1">
        <v>1</v>
      </c>
      <c r="F159" s="1">
        <f t="shared" si="6"/>
        <v>15990000</v>
      </c>
      <c r="G159" s="1">
        <f t="shared" si="7"/>
        <v>12</v>
      </c>
      <c r="H159" s="1">
        <f t="shared" si="8"/>
        <v>51</v>
      </c>
      <c r="I159" s="3">
        <v>45645</v>
      </c>
      <c r="J159" t="s">
        <v>11</v>
      </c>
      <c r="K159" t="s">
        <v>14</v>
      </c>
      <c r="L159" t="s">
        <v>22</v>
      </c>
    </row>
    <row r="160" spans="1:12" x14ac:dyDescent="0.25">
      <c r="A160" t="s">
        <v>200</v>
      </c>
      <c r="B160" t="s">
        <v>479</v>
      </c>
      <c r="C160">
        <v>997488142</v>
      </c>
      <c r="D160">
        <v>18990000</v>
      </c>
      <c r="E160" s="1" t="s">
        <v>6</v>
      </c>
      <c r="F160" s="1">
        <f t="shared" si="6"/>
        <v>37980000</v>
      </c>
      <c r="G160" s="1">
        <f t="shared" si="7"/>
        <v>12</v>
      </c>
      <c r="H160" s="1">
        <f t="shared" si="8"/>
        <v>50</v>
      </c>
      <c r="I160" s="3">
        <v>45637</v>
      </c>
      <c r="J160" t="s">
        <v>13</v>
      </c>
      <c r="K160" t="s">
        <v>14</v>
      </c>
      <c r="L160" t="s">
        <v>19</v>
      </c>
    </row>
    <row r="161" spans="1:12" x14ac:dyDescent="0.25">
      <c r="A161" t="s">
        <v>201</v>
      </c>
      <c r="B161" t="s">
        <v>480</v>
      </c>
      <c r="C161">
        <v>925898299</v>
      </c>
      <c r="D161">
        <v>450000</v>
      </c>
      <c r="E161" s="1" t="s">
        <v>10</v>
      </c>
      <c r="F161" s="1">
        <f t="shared" si="6"/>
        <v>2250000</v>
      </c>
      <c r="G161" s="1">
        <f t="shared" si="7"/>
        <v>12</v>
      </c>
      <c r="H161" s="1">
        <f t="shared" si="8"/>
        <v>52</v>
      </c>
      <c r="I161" s="3">
        <v>45651</v>
      </c>
      <c r="J161" t="s">
        <v>13</v>
      </c>
      <c r="K161" t="s">
        <v>15</v>
      </c>
      <c r="L161" t="s">
        <v>28</v>
      </c>
    </row>
    <row r="162" spans="1:12" x14ac:dyDescent="0.25">
      <c r="A162" t="s">
        <v>202</v>
      </c>
      <c r="B162" t="s">
        <v>481</v>
      </c>
      <c r="C162">
        <v>952831009</v>
      </c>
      <c r="D162">
        <v>9990000</v>
      </c>
      <c r="E162" s="1">
        <v>2</v>
      </c>
      <c r="F162" s="1">
        <f t="shared" si="6"/>
        <v>19980000</v>
      </c>
      <c r="G162" s="1">
        <f t="shared" si="7"/>
        <v>12</v>
      </c>
      <c r="H162" s="1">
        <f t="shared" si="8"/>
        <v>51</v>
      </c>
      <c r="I162" s="3">
        <v>45641</v>
      </c>
      <c r="J162" t="s">
        <v>13</v>
      </c>
      <c r="K162" t="s">
        <v>14</v>
      </c>
      <c r="L162" t="s">
        <v>17</v>
      </c>
    </row>
    <row r="163" spans="1:12" x14ac:dyDescent="0.25">
      <c r="A163" t="s">
        <v>203</v>
      </c>
      <c r="B163" t="s">
        <v>482</v>
      </c>
      <c r="C163">
        <v>946677730</v>
      </c>
      <c r="D163">
        <v>5290000</v>
      </c>
      <c r="E163" s="1">
        <v>3</v>
      </c>
      <c r="F163" s="1">
        <f t="shared" si="6"/>
        <v>15870000</v>
      </c>
      <c r="G163" s="1">
        <f t="shared" si="7"/>
        <v>12</v>
      </c>
      <c r="H163" s="1">
        <f t="shared" si="8"/>
        <v>52</v>
      </c>
      <c r="I163" s="3">
        <v>45651</v>
      </c>
      <c r="J163" t="s">
        <v>13</v>
      </c>
      <c r="K163" t="s">
        <v>15</v>
      </c>
      <c r="L163" t="s">
        <v>34</v>
      </c>
    </row>
    <row r="164" spans="1:12" x14ac:dyDescent="0.25">
      <c r="A164" t="s">
        <v>204</v>
      </c>
      <c r="B164" t="s">
        <v>483</v>
      </c>
      <c r="C164">
        <v>992558242</v>
      </c>
      <c r="D164">
        <v>22990000</v>
      </c>
      <c r="E164" s="1">
        <v>2</v>
      </c>
      <c r="F164" s="1">
        <f t="shared" si="6"/>
        <v>45980000</v>
      </c>
      <c r="G164" s="1">
        <f t="shared" si="7"/>
        <v>12</v>
      </c>
      <c r="H164" s="1">
        <f t="shared" si="8"/>
        <v>52</v>
      </c>
      <c r="I164" s="3">
        <v>45650</v>
      </c>
      <c r="J164" t="s">
        <v>13</v>
      </c>
      <c r="K164" t="s">
        <v>14</v>
      </c>
      <c r="L164" t="s">
        <v>41</v>
      </c>
    </row>
    <row r="165" spans="1:12" x14ac:dyDescent="0.25">
      <c r="A165" t="s">
        <v>205</v>
      </c>
      <c r="B165" t="s">
        <v>484</v>
      </c>
      <c r="C165">
        <v>915512205</v>
      </c>
      <c r="D165">
        <v>9990000</v>
      </c>
      <c r="E165" s="1">
        <v>2</v>
      </c>
      <c r="F165" s="1">
        <f t="shared" si="6"/>
        <v>19980000</v>
      </c>
      <c r="G165" s="1">
        <f t="shared" si="7"/>
        <v>12</v>
      </c>
      <c r="H165" s="1">
        <f t="shared" si="8"/>
        <v>51</v>
      </c>
      <c r="I165" s="3">
        <v>45644</v>
      </c>
      <c r="J165" t="s">
        <v>12</v>
      </c>
      <c r="K165" t="s">
        <v>16</v>
      </c>
      <c r="L165" t="s">
        <v>30</v>
      </c>
    </row>
    <row r="166" spans="1:12" x14ac:dyDescent="0.25">
      <c r="A166" t="s">
        <v>206</v>
      </c>
      <c r="B166" t="s">
        <v>485</v>
      </c>
      <c r="C166">
        <v>914877451</v>
      </c>
      <c r="D166">
        <v>8990000</v>
      </c>
      <c r="E166" s="1" t="s">
        <v>8</v>
      </c>
      <c r="F166" s="1">
        <f t="shared" si="6"/>
        <v>8990000</v>
      </c>
      <c r="G166" s="1">
        <f t="shared" si="7"/>
        <v>12</v>
      </c>
      <c r="H166" s="1">
        <f t="shared" si="8"/>
        <v>52</v>
      </c>
      <c r="I166" s="3">
        <v>45652</v>
      </c>
      <c r="J166" t="s">
        <v>12</v>
      </c>
      <c r="K166" t="s">
        <v>16</v>
      </c>
      <c r="L166" t="s">
        <v>39</v>
      </c>
    </row>
    <row r="167" spans="1:12" x14ac:dyDescent="0.25">
      <c r="A167" t="s">
        <v>207</v>
      </c>
      <c r="B167" t="s">
        <v>486</v>
      </c>
      <c r="C167">
        <v>970887034</v>
      </c>
      <c r="D167">
        <v>9990000</v>
      </c>
      <c r="E167" s="1" t="s">
        <v>6</v>
      </c>
      <c r="F167" s="1">
        <f t="shared" si="6"/>
        <v>19980000</v>
      </c>
      <c r="G167" s="1">
        <f t="shared" si="7"/>
        <v>12</v>
      </c>
      <c r="H167" s="1">
        <f t="shared" si="8"/>
        <v>52</v>
      </c>
      <c r="I167" s="3">
        <v>45648</v>
      </c>
      <c r="J167" t="s">
        <v>13</v>
      </c>
      <c r="K167" t="s">
        <v>16</v>
      </c>
      <c r="L167" t="s">
        <v>30</v>
      </c>
    </row>
    <row r="168" spans="1:12" x14ac:dyDescent="0.25">
      <c r="A168" t="s">
        <v>208</v>
      </c>
      <c r="B168" t="s">
        <v>487</v>
      </c>
      <c r="C168">
        <v>950818905</v>
      </c>
      <c r="D168">
        <v>15990000</v>
      </c>
      <c r="E168" s="1">
        <v>1</v>
      </c>
      <c r="F168" s="1">
        <f t="shared" si="6"/>
        <v>15990000</v>
      </c>
      <c r="G168" s="1">
        <f t="shared" si="7"/>
        <v>6</v>
      </c>
      <c r="H168" s="1">
        <f t="shared" si="8"/>
        <v>24</v>
      </c>
      <c r="I168" s="3">
        <v>45455</v>
      </c>
      <c r="J168" t="s">
        <v>11</v>
      </c>
      <c r="K168" t="s">
        <v>14</v>
      </c>
      <c r="L168" t="s">
        <v>22</v>
      </c>
    </row>
    <row r="169" spans="1:12" x14ac:dyDescent="0.25">
      <c r="A169" t="s">
        <v>209</v>
      </c>
      <c r="B169" t="s">
        <v>488</v>
      </c>
      <c r="C169">
        <v>964830300</v>
      </c>
      <c r="D169">
        <v>350000</v>
      </c>
      <c r="E169" s="1">
        <v>4</v>
      </c>
      <c r="F169" s="1">
        <f t="shared" si="6"/>
        <v>1400000</v>
      </c>
      <c r="G169" s="1">
        <f t="shared" si="7"/>
        <v>12</v>
      </c>
      <c r="H169" s="1">
        <f t="shared" si="8"/>
        <v>52</v>
      </c>
      <c r="I169" s="3">
        <v>45649</v>
      </c>
      <c r="J169" t="s">
        <v>12</v>
      </c>
      <c r="K169" t="s">
        <v>15</v>
      </c>
      <c r="L169" t="s">
        <v>18</v>
      </c>
    </row>
    <row r="170" spans="1:12" x14ac:dyDescent="0.25">
      <c r="A170" t="s">
        <v>210</v>
      </c>
      <c r="B170" t="s">
        <v>489</v>
      </c>
      <c r="C170">
        <v>951708177</v>
      </c>
      <c r="D170">
        <v>450000</v>
      </c>
      <c r="E170" s="1">
        <v>4</v>
      </c>
      <c r="F170" s="1">
        <f t="shared" si="6"/>
        <v>1800000</v>
      </c>
      <c r="G170" s="1">
        <f t="shared" si="7"/>
        <v>12</v>
      </c>
      <c r="H170" s="1">
        <f t="shared" si="8"/>
        <v>49</v>
      </c>
      <c r="I170" s="3">
        <v>45627</v>
      </c>
      <c r="J170" t="s">
        <v>13</v>
      </c>
      <c r="K170" t="s">
        <v>15</v>
      </c>
      <c r="L170" t="s">
        <v>28</v>
      </c>
    </row>
    <row r="171" spans="1:12" x14ac:dyDescent="0.25">
      <c r="A171" t="s">
        <v>211</v>
      </c>
      <c r="B171" t="s">
        <v>490</v>
      </c>
      <c r="C171">
        <v>924363501</v>
      </c>
      <c r="D171">
        <v>18990000</v>
      </c>
      <c r="E171" s="1">
        <v>1</v>
      </c>
      <c r="F171" s="1">
        <f t="shared" si="6"/>
        <v>18990000</v>
      </c>
      <c r="G171" s="1">
        <f t="shared" si="7"/>
        <v>12</v>
      </c>
      <c r="H171" s="1">
        <f t="shared" si="8"/>
        <v>51</v>
      </c>
      <c r="I171" s="3">
        <v>45643</v>
      </c>
      <c r="J171" t="s">
        <v>12</v>
      </c>
      <c r="K171" t="s">
        <v>14</v>
      </c>
      <c r="L171" t="s">
        <v>20</v>
      </c>
    </row>
    <row r="172" spans="1:12" x14ac:dyDescent="0.25">
      <c r="A172" t="s">
        <v>212</v>
      </c>
      <c r="B172" t="s">
        <v>491</v>
      </c>
      <c r="C172">
        <v>931127115</v>
      </c>
      <c r="D172">
        <v>9990000</v>
      </c>
      <c r="E172" s="1" t="s">
        <v>6</v>
      </c>
      <c r="F172" s="1">
        <f t="shared" si="6"/>
        <v>19980000</v>
      </c>
      <c r="G172" s="1">
        <f t="shared" si="7"/>
        <v>12</v>
      </c>
      <c r="H172" s="1">
        <f t="shared" si="8"/>
        <v>50</v>
      </c>
      <c r="I172" s="3">
        <v>45636</v>
      </c>
      <c r="J172" t="s">
        <v>13</v>
      </c>
      <c r="K172" t="s">
        <v>16</v>
      </c>
      <c r="L172" t="s">
        <v>30</v>
      </c>
    </row>
    <row r="173" spans="1:12" x14ac:dyDescent="0.25">
      <c r="A173" t="s">
        <v>213</v>
      </c>
      <c r="B173" t="s">
        <v>492</v>
      </c>
      <c r="C173">
        <v>945594951</v>
      </c>
      <c r="D173">
        <v>350000</v>
      </c>
      <c r="E173" s="1" t="s">
        <v>10</v>
      </c>
      <c r="F173" s="1">
        <f t="shared" si="6"/>
        <v>1750000</v>
      </c>
      <c r="G173" s="1">
        <f t="shared" si="7"/>
        <v>10</v>
      </c>
      <c r="H173" s="1">
        <f t="shared" si="8"/>
        <v>41</v>
      </c>
      <c r="I173" s="3">
        <v>45577</v>
      </c>
      <c r="J173" t="s">
        <v>13</v>
      </c>
      <c r="K173" t="s">
        <v>15</v>
      </c>
      <c r="L173" t="s">
        <v>18</v>
      </c>
    </row>
    <row r="174" spans="1:12" x14ac:dyDescent="0.25">
      <c r="A174" t="s">
        <v>214</v>
      </c>
      <c r="B174" t="s">
        <v>493</v>
      </c>
      <c r="C174">
        <v>923798190</v>
      </c>
      <c r="D174">
        <v>25990000</v>
      </c>
      <c r="E174" s="1" t="s">
        <v>8</v>
      </c>
      <c r="F174" s="1">
        <f t="shared" si="6"/>
        <v>25990000</v>
      </c>
      <c r="G174" s="1">
        <f t="shared" si="7"/>
        <v>12</v>
      </c>
      <c r="H174" s="1">
        <f t="shared" si="8"/>
        <v>50</v>
      </c>
      <c r="I174" s="3">
        <v>45635</v>
      </c>
      <c r="J174" t="s">
        <v>11</v>
      </c>
      <c r="K174" t="s">
        <v>14</v>
      </c>
      <c r="L174" t="s">
        <v>31</v>
      </c>
    </row>
    <row r="175" spans="1:12" x14ac:dyDescent="0.25">
      <c r="A175" t="s">
        <v>215</v>
      </c>
      <c r="B175" t="s">
        <v>494</v>
      </c>
      <c r="C175">
        <v>942138745</v>
      </c>
      <c r="D175">
        <v>22990000</v>
      </c>
      <c r="E175" s="1">
        <v>1</v>
      </c>
      <c r="F175" s="1">
        <f t="shared" si="6"/>
        <v>22990000</v>
      </c>
      <c r="G175" s="1">
        <f t="shared" si="7"/>
        <v>12</v>
      </c>
      <c r="H175" s="1">
        <f t="shared" si="8"/>
        <v>50</v>
      </c>
      <c r="I175" s="3">
        <v>45634</v>
      </c>
      <c r="J175" t="s">
        <v>13</v>
      </c>
      <c r="K175" t="s">
        <v>14</v>
      </c>
      <c r="L175" t="s">
        <v>41</v>
      </c>
    </row>
    <row r="176" spans="1:12" x14ac:dyDescent="0.25">
      <c r="A176" t="s">
        <v>216</v>
      </c>
      <c r="B176" t="s">
        <v>495</v>
      </c>
      <c r="C176">
        <v>984098828</v>
      </c>
      <c r="D176">
        <v>18490000</v>
      </c>
      <c r="E176" s="1">
        <v>2</v>
      </c>
      <c r="F176" s="1">
        <f t="shared" si="6"/>
        <v>36980000</v>
      </c>
      <c r="G176" s="1">
        <f t="shared" si="7"/>
        <v>12</v>
      </c>
      <c r="H176" s="1">
        <f t="shared" si="8"/>
        <v>52</v>
      </c>
      <c r="I176" s="3">
        <v>45651</v>
      </c>
      <c r="J176" t="s">
        <v>12</v>
      </c>
      <c r="K176" t="s">
        <v>16</v>
      </c>
      <c r="L176" t="s">
        <v>24</v>
      </c>
    </row>
    <row r="177" spans="1:12" x14ac:dyDescent="0.25">
      <c r="A177" t="s">
        <v>217</v>
      </c>
      <c r="B177" t="s">
        <v>496</v>
      </c>
      <c r="C177">
        <v>962755436</v>
      </c>
      <c r="D177">
        <v>890000</v>
      </c>
      <c r="E177" s="1">
        <v>2</v>
      </c>
      <c r="F177" s="1">
        <f t="shared" si="6"/>
        <v>1780000</v>
      </c>
      <c r="G177" s="1">
        <f t="shared" si="7"/>
        <v>12</v>
      </c>
      <c r="H177" s="1">
        <f t="shared" si="8"/>
        <v>49</v>
      </c>
      <c r="I177" s="3">
        <v>45631</v>
      </c>
      <c r="J177" t="s">
        <v>12</v>
      </c>
      <c r="K177" t="s">
        <v>15</v>
      </c>
      <c r="L177" t="s">
        <v>40</v>
      </c>
    </row>
    <row r="178" spans="1:12" x14ac:dyDescent="0.25">
      <c r="A178" t="s">
        <v>218</v>
      </c>
      <c r="B178" t="s">
        <v>497</v>
      </c>
      <c r="C178">
        <v>978778646</v>
      </c>
      <c r="D178">
        <v>8900000</v>
      </c>
      <c r="E178" s="1">
        <v>1</v>
      </c>
      <c r="F178" s="1">
        <f t="shared" si="6"/>
        <v>8900000</v>
      </c>
      <c r="G178" s="1">
        <f t="shared" si="7"/>
        <v>12</v>
      </c>
      <c r="H178" s="1">
        <f t="shared" si="8"/>
        <v>49</v>
      </c>
      <c r="I178" s="3">
        <v>45630</v>
      </c>
      <c r="J178" t="s">
        <v>11</v>
      </c>
      <c r="K178" t="s">
        <v>16</v>
      </c>
      <c r="L178" t="s">
        <v>26</v>
      </c>
    </row>
    <row r="179" spans="1:12" x14ac:dyDescent="0.25">
      <c r="A179" t="s">
        <v>219</v>
      </c>
      <c r="B179" t="s">
        <v>498</v>
      </c>
      <c r="C179">
        <v>990882505</v>
      </c>
      <c r="D179">
        <v>5290000</v>
      </c>
      <c r="E179" s="1">
        <v>4</v>
      </c>
      <c r="F179" s="1">
        <f t="shared" si="6"/>
        <v>21160000</v>
      </c>
      <c r="G179" s="1">
        <f t="shared" si="7"/>
        <v>12</v>
      </c>
      <c r="H179" s="1">
        <f t="shared" si="8"/>
        <v>50</v>
      </c>
      <c r="I179" s="3">
        <v>45640</v>
      </c>
      <c r="J179" t="s">
        <v>11</v>
      </c>
      <c r="K179" t="s">
        <v>15</v>
      </c>
      <c r="L179" t="s">
        <v>34</v>
      </c>
    </row>
    <row r="180" spans="1:12" x14ac:dyDescent="0.25">
      <c r="A180" t="s">
        <v>220</v>
      </c>
      <c r="B180" t="s">
        <v>499</v>
      </c>
      <c r="C180">
        <v>926944487</v>
      </c>
      <c r="D180">
        <v>890000</v>
      </c>
      <c r="E180" s="1">
        <v>3</v>
      </c>
      <c r="F180" s="1">
        <f t="shared" si="6"/>
        <v>2670000</v>
      </c>
      <c r="G180" s="1">
        <f t="shared" si="7"/>
        <v>12</v>
      </c>
      <c r="H180" s="1">
        <f t="shared" si="8"/>
        <v>53</v>
      </c>
      <c r="I180" s="3">
        <v>45657</v>
      </c>
      <c r="J180" t="s">
        <v>12</v>
      </c>
      <c r="K180" t="s">
        <v>15</v>
      </c>
      <c r="L180" t="s">
        <v>40</v>
      </c>
    </row>
    <row r="181" spans="1:12" x14ac:dyDescent="0.25">
      <c r="A181" t="s">
        <v>221</v>
      </c>
      <c r="B181" t="s">
        <v>420</v>
      </c>
      <c r="C181">
        <v>959070856</v>
      </c>
      <c r="D181">
        <v>190000</v>
      </c>
      <c r="E181" s="1" t="s">
        <v>10</v>
      </c>
      <c r="F181" s="1">
        <f t="shared" si="6"/>
        <v>950000</v>
      </c>
      <c r="G181" s="1">
        <f t="shared" si="7"/>
        <v>12</v>
      </c>
      <c r="H181" s="1">
        <f t="shared" si="8"/>
        <v>49</v>
      </c>
      <c r="I181" s="3">
        <v>45631</v>
      </c>
      <c r="J181" t="s">
        <v>13</v>
      </c>
      <c r="K181" t="s">
        <v>15</v>
      </c>
      <c r="L181" t="s">
        <v>27</v>
      </c>
    </row>
    <row r="182" spans="1:12" x14ac:dyDescent="0.25">
      <c r="A182" t="s">
        <v>222</v>
      </c>
      <c r="B182" t="s">
        <v>500</v>
      </c>
      <c r="C182">
        <v>989736043</v>
      </c>
      <c r="D182">
        <v>890000</v>
      </c>
      <c r="E182" s="1" t="s">
        <v>10</v>
      </c>
      <c r="F182" s="1">
        <f t="shared" si="6"/>
        <v>4450000</v>
      </c>
      <c r="G182" s="1">
        <f t="shared" si="7"/>
        <v>12</v>
      </c>
      <c r="H182" s="1">
        <f t="shared" si="8"/>
        <v>50</v>
      </c>
      <c r="I182" s="3">
        <v>45639</v>
      </c>
      <c r="J182" t="s">
        <v>11</v>
      </c>
      <c r="K182" t="s">
        <v>15</v>
      </c>
      <c r="L182" t="s">
        <v>40</v>
      </c>
    </row>
    <row r="183" spans="1:12" x14ac:dyDescent="0.25">
      <c r="A183" t="s">
        <v>223</v>
      </c>
      <c r="B183" t="s">
        <v>501</v>
      </c>
      <c r="C183">
        <v>951738753</v>
      </c>
      <c r="D183">
        <v>5290000</v>
      </c>
      <c r="E183" s="1">
        <v>3</v>
      </c>
      <c r="F183" s="1">
        <f t="shared" si="6"/>
        <v>15870000</v>
      </c>
      <c r="G183" s="1">
        <f t="shared" si="7"/>
        <v>12</v>
      </c>
      <c r="H183" s="1">
        <f t="shared" si="8"/>
        <v>49</v>
      </c>
      <c r="I183" s="3">
        <v>45630</v>
      </c>
      <c r="J183" t="s">
        <v>13</v>
      </c>
      <c r="K183" t="s">
        <v>15</v>
      </c>
      <c r="L183" t="s">
        <v>34</v>
      </c>
    </row>
    <row r="184" spans="1:12" x14ac:dyDescent="0.25">
      <c r="A184" t="s">
        <v>224</v>
      </c>
      <c r="B184" t="s">
        <v>502</v>
      </c>
      <c r="C184">
        <v>945966597</v>
      </c>
      <c r="D184">
        <v>25990000</v>
      </c>
      <c r="E184" s="1" t="s">
        <v>8</v>
      </c>
      <c r="F184" s="1">
        <f t="shared" si="6"/>
        <v>25990000</v>
      </c>
      <c r="G184" s="1">
        <f t="shared" si="7"/>
        <v>12</v>
      </c>
      <c r="H184" s="1">
        <f t="shared" si="8"/>
        <v>50</v>
      </c>
      <c r="I184" s="3">
        <v>45639</v>
      </c>
      <c r="J184" t="s">
        <v>12</v>
      </c>
      <c r="K184" t="s">
        <v>14</v>
      </c>
      <c r="L184" t="s">
        <v>31</v>
      </c>
    </row>
    <row r="185" spans="1:12" x14ac:dyDescent="0.25">
      <c r="A185" t="s">
        <v>225</v>
      </c>
      <c r="B185" t="s">
        <v>503</v>
      </c>
      <c r="C185">
        <v>921370793</v>
      </c>
      <c r="D185">
        <v>12500000</v>
      </c>
      <c r="E185" s="1">
        <v>2</v>
      </c>
      <c r="F185" s="1">
        <f t="shared" si="6"/>
        <v>25000000</v>
      </c>
      <c r="G185" s="1">
        <f t="shared" si="7"/>
        <v>12</v>
      </c>
      <c r="H185" s="1">
        <f t="shared" si="8"/>
        <v>51</v>
      </c>
      <c r="I185" s="3">
        <v>45644</v>
      </c>
      <c r="J185" t="s">
        <v>11</v>
      </c>
      <c r="K185" t="s">
        <v>16</v>
      </c>
      <c r="L185" t="s">
        <v>25</v>
      </c>
    </row>
    <row r="186" spans="1:12" x14ac:dyDescent="0.25">
      <c r="A186" t="s">
        <v>226</v>
      </c>
      <c r="B186" t="s">
        <v>504</v>
      </c>
      <c r="C186">
        <v>940097200</v>
      </c>
      <c r="D186">
        <v>18990000</v>
      </c>
      <c r="E186" s="1">
        <v>1</v>
      </c>
      <c r="F186" s="1">
        <f t="shared" si="6"/>
        <v>18990000</v>
      </c>
      <c r="G186" s="1">
        <f t="shared" si="7"/>
        <v>12</v>
      </c>
      <c r="H186" s="1">
        <f t="shared" si="8"/>
        <v>49</v>
      </c>
      <c r="I186" s="3">
        <v>45633</v>
      </c>
      <c r="J186" t="s">
        <v>11</v>
      </c>
      <c r="K186" t="s">
        <v>14</v>
      </c>
      <c r="L186" t="s">
        <v>20</v>
      </c>
    </row>
    <row r="187" spans="1:12" x14ac:dyDescent="0.25">
      <c r="A187" t="s">
        <v>227</v>
      </c>
      <c r="B187" t="s">
        <v>505</v>
      </c>
      <c r="C187">
        <v>995225343</v>
      </c>
      <c r="D187">
        <v>15990000</v>
      </c>
      <c r="E187" s="1">
        <v>1</v>
      </c>
      <c r="F187" s="1">
        <f t="shared" si="6"/>
        <v>15990000</v>
      </c>
      <c r="G187" s="1">
        <f t="shared" si="7"/>
        <v>12</v>
      </c>
      <c r="H187" s="1">
        <f t="shared" si="8"/>
        <v>51</v>
      </c>
      <c r="I187" s="3">
        <v>45644</v>
      </c>
      <c r="J187" t="s">
        <v>12</v>
      </c>
      <c r="K187" t="s">
        <v>14</v>
      </c>
      <c r="L187" t="s">
        <v>22</v>
      </c>
    </row>
    <row r="188" spans="1:12" x14ac:dyDescent="0.25">
      <c r="A188" t="s">
        <v>228</v>
      </c>
      <c r="B188" t="s">
        <v>506</v>
      </c>
      <c r="C188">
        <v>997219599</v>
      </c>
      <c r="D188">
        <v>28990000</v>
      </c>
      <c r="E188" s="1">
        <v>2</v>
      </c>
      <c r="F188" s="1">
        <f t="shared" si="6"/>
        <v>57980000</v>
      </c>
      <c r="G188" s="1">
        <f t="shared" si="7"/>
        <v>12</v>
      </c>
      <c r="H188" s="1">
        <f t="shared" si="8"/>
        <v>52</v>
      </c>
      <c r="I188" s="3">
        <v>45654</v>
      </c>
      <c r="J188" t="s">
        <v>12</v>
      </c>
      <c r="K188" t="s">
        <v>14</v>
      </c>
      <c r="L188" t="s">
        <v>23</v>
      </c>
    </row>
    <row r="189" spans="1:12" x14ac:dyDescent="0.25">
      <c r="A189" t="s">
        <v>229</v>
      </c>
      <c r="B189" t="s">
        <v>507</v>
      </c>
      <c r="C189">
        <v>994322033</v>
      </c>
      <c r="D189">
        <v>18990000</v>
      </c>
      <c r="E189" s="1">
        <v>1</v>
      </c>
      <c r="F189" s="1">
        <f t="shared" si="6"/>
        <v>18990000</v>
      </c>
      <c r="G189" s="1">
        <f t="shared" si="7"/>
        <v>12</v>
      </c>
      <c r="H189" s="1">
        <f t="shared" si="8"/>
        <v>53</v>
      </c>
      <c r="I189" s="3">
        <v>45655</v>
      </c>
      <c r="J189" t="s">
        <v>13</v>
      </c>
      <c r="K189" t="s">
        <v>14</v>
      </c>
      <c r="L189" t="s">
        <v>20</v>
      </c>
    </row>
    <row r="190" spans="1:12" x14ac:dyDescent="0.25">
      <c r="A190" t="s">
        <v>230</v>
      </c>
      <c r="B190" t="s">
        <v>508</v>
      </c>
      <c r="C190">
        <v>944349528</v>
      </c>
      <c r="D190">
        <v>18990000</v>
      </c>
      <c r="E190" s="1">
        <v>2</v>
      </c>
      <c r="F190" s="1">
        <f t="shared" si="6"/>
        <v>37980000</v>
      </c>
      <c r="G190" s="1">
        <f t="shared" si="7"/>
        <v>12</v>
      </c>
      <c r="H190" s="1">
        <f t="shared" si="8"/>
        <v>52</v>
      </c>
      <c r="I190" s="3">
        <v>45653</v>
      </c>
      <c r="J190" t="s">
        <v>13</v>
      </c>
      <c r="K190" t="s">
        <v>14</v>
      </c>
      <c r="L190" t="s">
        <v>19</v>
      </c>
    </row>
    <row r="191" spans="1:12" x14ac:dyDescent="0.25">
      <c r="A191" t="s">
        <v>231</v>
      </c>
      <c r="B191" t="s">
        <v>509</v>
      </c>
      <c r="C191">
        <v>961254050</v>
      </c>
      <c r="D191">
        <v>890000</v>
      </c>
      <c r="E191" s="1">
        <v>2</v>
      </c>
      <c r="F191" s="1">
        <f t="shared" si="6"/>
        <v>1780000</v>
      </c>
      <c r="G191" s="1">
        <f t="shared" si="7"/>
        <v>12</v>
      </c>
      <c r="H191" s="1">
        <f t="shared" si="8"/>
        <v>51</v>
      </c>
      <c r="I191" s="3">
        <v>45643</v>
      </c>
      <c r="J191" t="s">
        <v>13</v>
      </c>
      <c r="K191" t="s">
        <v>15</v>
      </c>
      <c r="L191" t="s">
        <v>40</v>
      </c>
    </row>
    <row r="192" spans="1:12" x14ac:dyDescent="0.25">
      <c r="A192" t="s">
        <v>232</v>
      </c>
      <c r="B192" t="s">
        <v>397</v>
      </c>
      <c r="C192">
        <v>972654864</v>
      </c>
      <c r="D192">
        <v>150000</v>
      </c>
      <c r="E192" s="1">
        <v>4</v>
      </c>
      <c r="F192" s="1">
        <f t="shared" si="6"/>
        <v>600000</v>
      </c>
      <c r="G192" s="1">
        <f t="shared" si="7"/>
        <v>12</v>
      </c>
      <c r="H192" s="1">
        <f t="shared" si="8"/>
        <v>53</v>
      </c>
      <c r="I192" s="3">
        <v>45655</v>
      </c>
      <c r="J192" t="s">
        <v>12</v>
      </c>
      <c r="K192" t="s">
        <v>15</v>
      </c>
      <c r="L192" t="s">
        <v>32</v>
      </c>
    </row>
    <row r="193" spans="1:12" x14ac:dyDescent="0.25">
      <c r="A193" t="s">
        <v>233</v>
      </c>
      <c r="B193" t="s">
        <v>503</v>
      </c>
      <c r="C193">
        <v>986384014</v>
      </c>
      <c r="D193">
        <v>12500000</v>
      </c>
      <c r="E193" s="1">
        <v>1</v>
      </c>
      <c r="F193" s="1">
        <f t="shared" si="6"/>
        <v>12500000</v>
      </c>
      <c r="G193" s="1">
        <f t="shared" si="7"/>
        <v>12</v>
      </c>
      <c r="H193" s="1">
        <f t="shared" si="8"/>
        <v>50</v>
      </c>
      <c r="I193" s="3">
        <v>45639</v>
      </c>
      <c r="J193" t="s">
        <v>12</v>
      </c>
      <c r="K193" t="s">
        <v>16</v>
      </c>
      <c r="L193" t="s">
        <v>25</v>
      </c>
    </row>
    <row r="194" spans="1:12" x14ac:dyDescent="0.25">
      <c r="A194" t="s">
        <v>234</v>
      </c>
      <c r="B194" t="s">
        <v>510</v>
      </c>
      <c r="C194">
        <v>915864298</v>
      </c>
      <c r="D194">
        <v>8900000</v>
      </c>
      <c r="E194" s="1">
        <v>1</v>
      </c>
      <c r="F194" s="1">
        <f t="shared" ref="F194:F257" si="9">(E194)*(D194)</f>
        <v>8900000</v>
      </c>
      <c r="G194" s="1">
        <f t="shared" ref="G194:G257" si="10">MONTH(I194)</f>
        <v>12</v>
      </c>
      <c r="H194" s="1">
        <f t="shared" ref="H194:H257" si="11">WEEKNUM(I194)</f>
        <v>50</v>
      </c>
      <c r="I194" s="3">
        <v>45638</v>
      </c>
      <c r="J194" t="s">
        <v>11</v>
      </c>
      <c r="K194" t="s">
        <v>16</v>
      </c>
      <c r="L194" t="s">
        <v>26</v>
      </c>
    </row>
    <row r="195" spans="1:12" x14ac:dyDescent="0.25">
      <c r="A195" t="s">
        <v>235</v>
      </c>
      <c r="B195" t="s">
        <v>511</v>
      </c>
      <c r="C195">
        <v>932329103</v>
      </c>
      <c r="D195">
        <v>5290000</v>
      </c>
      <c r="E195" s="1">
        <v>1</v>
      </c>
      <c r="F195" s="1">
        <f t="shared" si="9"/>
        <v>5290000</v>
      </c>
      <c r="G195" s="1">
        <f t="shared" si="10"/>
        <v>12</v>
      </c>
      <c r="H195" s="1">
        <f t="shared" si="11"/>
        <v>50</v>
      </c>
      <c r="I195" s="3">
        <v>45636</v>
      </c>
      <c r="J195" t="s">
        <v>12</v>
      </c>
      <c r="K195" t="s">
        <v>15</v>
      </c>
      <c r="L195" t="s">
        <v>34</v>
      </c>
    </row>
    <row r="196" spans="1:12" x14ac:dyDescent="0.25">
      <c r="A196" t="s">
        <v>236</v>
      </c>
      <c r="B196" t="s">
        <v>512</v>
      </c>
      <c r="C196">
        <v>939600202</v>
      </c>
      <c r="D196">
        <v>150000</v>
      </c>
      <c r="E196" s="1">
        <v>4</v>
      </c>
      <c r="F196" s="1">
        <f t="shared" si="9"/>
        <v>600000</v>
      </c>
      <c r="G196" s="1">
        <f t="shared" si="10"/>
        <v>8</v>
      </c>
      <c r="H196" s="1">
        <f t="shared" si="11"/>
        <v>33</v>
      </c>
      <c r="I196" s="3">
        <v>45516</v>
      </c>
      <c r="J196" t="s">
        <v>12</v>
      </c>
      <c r="K196" t="s">
        <v>15</v>
      </c>
      <c r="L196" t="s">
        <v>32</v>
      </c>
    </row>
    <row r="197" spans="1:12" x14ac:dyDescent="0.25">
      <c r="A197" t="s">
        <v>237</v>
      </c>
      <c r="B197" t="s">
        <v>513</v>
      </c>
      <c r="C197">
        <v>992631441</v>
      </c>
      <c r="D197">
        <v>8900000</v>
      </c>
      <c r="E197" s="1" t="s">
        <v>8</v>
      </c>
      <c r="F197" s="1">
        <f t="shared" si="9"/>
        <v>8900000</v>
      </c>
      <c r="G197" s="1">
        <f t="shared" si="10"/>
        <v>12</v>
      </c>
      <c r="H197" s="1">
        <f t="shared" si="11"/>
        <v>53</v>
      </c>
      <c r="I197" s="3">
        <v>45657</v>
      </c>
      <c r="J197" t="s">
        <v>12</v>
      </c>
      <c r="K197" t="s">
        <v>16</v>
      </c>
      <c r="L197" t="s">
        <v>26</v>
      </c>
    </row>
    <row r="198" spans="1:12" x14ac:dyDescent="0.25">
      <c r="A198" t="s">
        <v>238</v>
      </c>
      <c r="B198" t="s">
        <v>514</v>
      </c>
      <c r="C198">
        <v>948412328</v>
      </c>
      <c r="D198">
        <v>190000</v>
      </c>
      <c r="E198" s="1">
        <v>5</v>
      </c>
      <c r="F198" s="1">
        <f t="shared" si="9"/>
        <v>950000</v>
      </c>
      <c r="G198" s="1">
        <f t="shared" si="10"/>
        <v>12</v>
      </c>
      <c r="H198" s="1">
        <f t="shared" si="11"/>
        <v>52</v>
      </c>
      <c r="I198" s="3">
        <v>45652</v>
      </c>
      <c r="J198" t="s">
        <v>13</v>
      </c>
      <c r="K198" t="s">
        <v>15</v>
      </c>
      <c r="L198" t="s">
        <v>27</v>
      </c>
    </row>
    <row r="199" spans="1:12" x14ac:dyDescent="0.25">
      <c r="A199" t="s">
        <v>239</v>
      </c>
      <c r="B199" t="s">
        <v>515</v>
      </c>
      <c r="C199">
        <v>971707170</v>
      </c>
      <c r="D199">
        <v>28990000</v>
      </c>
      <c r="E199" s="1" t="s">
        <v>6</v>
      </c>
      <c r="F199" s="1">
        <f t="shared" si="9"/>
        <v>57980000</v>
      </c>
      <c r="G199" s="1">
        <f t="shared" si="10"/>
        <v>12</v>
      </c>
      <c r="H199" s="1">
        <f t="shared" si="11"/>
        <v>52</v>
      </c>
      <c r="I199" s="3">
        <v>45654</v>
      </c>
      <c r="J199" t="s">
        <v>11</v>
      </c>
      <c r="K199" t="s">
        <v>14</v>
      </c>
      <c r="L199" t="s">
        <v>23</v>
      </c>
    </row>
    <row r="200" spans="1:12" x14ac:dyDescent="0.25">
      <c r="A200" t="s">
        <v>240</v>
      </c>
      <c r="B200" t="s">
        <v>516</v>
      </c>
      <c r="C200">
        <v>941329612</v>
      </c>
      <c r="D200">
        <v>6990000</v>
      </c>
      <c r="E200" s="1">
        <v>1</v>
      </c>
      <c r="F200" s="1">
        <f t="shared" si="9"/>
        <v>6990000</v>
      </c>
      <c r="G200" s="1">
        <f t="shared" si="10"/>
        <v>12</v>
      </c>
      <c r="H200" s="1">
        <f t="shared" si="11"/>
        <v>52</v>
      </c>
      <c r="I200" s="3">
        <v>45652</v>
      </c>
      <c r="J200" t="s">
        <v>13</v>
      </c>
      <c r="K200" t="s">
        <v>14</v>
      </c>
      <c r="L200" t="s">
        <v>35</v>
      </c>
    </row>
    <row r="201" spans="1:12" x14ac:dyDescent="0.25">
      <c r="A201" t="s">
        <v>241</v>
      </c>
      <c r="B201" t="s">
        <v>517</v>
      </c>
      <c r="C201">
        <v>924508349</v>
      </c>
      <c r="D201">
        <v>8990000</v>
      </c>
      <c r="E201" s="1">
        <v>2</v>
      </c>
      <c r="F201" s="1">
        <f t="shared" si="9"/>
        <v>17980000</v>
      </c>
      <c r="G201" s="1">
        <f t="shared" si="10"/>
        <v>12</v>
      </c>
      <c r="H201" s="1">
        <f t="shared" si="11"/>
        <v>52</v>
      </c>
      <c r="I201" s="3">
        <v>45654</v>
      </c>
      <c r="J201" t="s">
        <v>12</v>
      </c>
      <c r="K201" t="s">
        <v>16</v>
      </c>
      <c r="L201" t="s">
        <v>39</v>
      </c>
    </row>
    <row r="202" spans="1:12" x14ac:dyDescent="0.25">
      <c r="A202" t="s">
        <v>242</v>
      </c>
      <c r="B202" t="s">
        <v>518</v>
      </c>
      <c r="C202">
        <v>944295247</v>
      </c>
      <c r="D202">
        <v>12500000</v>
      </c>
      <c r="E202" s="1">
        <v>1</v>
      </c>
      <c r="F202" s="1">
        <f t="shared" si="9"/>
        <v>12500000</v>
      </c>
      <c r="G202" s="1">
        <f t="shared" si="10"/>
        <v>12</v>
      </c>
      <c r="H202" s="1">
        <f t="shared" si="11"/>
        <v>50</v>
      </c>
      <c r="I202" s="3">
        <v>45637</v>
      </c>
      <c r="J202" t="s">
        <v>13</v>
      </c>
      <c r="K202" t="s">
        <v>16</v>
      </c>
      <c r="L202" t="s">
        <v>25</v>
      </c>
    </row>
    <row r="203" spans="1:12" x14ac:dyDescent="0.25">
      <c r="A203" t="s">
        <v>243</v>
      </c>
      <c r="B203" t="s">
        <v>519</v>
      </c>
      <c r="C203">
        <v>984227466</v>
      </c>
      <c r="D203">
        <v>8990000</v>
      </c>
      <c r="E203" s="1">
        <v>2</v>
      </c>
      <c r="F203" s="1">
        <f t="shared" si="9"/>
        <v>17980000</v>
      </c>
      <c r="G203" s="1">
        <f t="shared" si="10"/>
        <v>12</v>
      </c>
      <c r="H203" s="1">
        <f t="shared" si="11"/>
        <v>50</v>
      </c>
      <c r="I203" s="3">
        <v>45640</v>
      </c>
      <c r="J203" t="s">
        <v>12</v>
      </c>
      <c r="K203" t="s">
        <v>16</v>
      </c>
      <c r="L203" t="s">
        <v>39</v>
      </c>
    </row>
    <row r="204" spans="1:12" x14ac:dyDescent="0.25">
      <c r="A204" t="s">
        <v>244</v>
      </c>
      <c r="B204" t="s">
        <v>520</v>
      </c>
      <c r="C204">
        <v>966581473</v>
      </c>
      <c r="D204">
        <v>6990000</v>
      </c>
      <c r="E204" s="1">
        <v>2</v>
      </c>
      <c r="F204" s="1">
        <f t="shared" si="9"/>
        <v>13980000</v>
      </c>
      <c r="G204" s="1">
        <f t="shared" si="10"/>
        <v>12</v>
      </c>
      <c r="H204" s="1">
        <f t="shared" si="11"/>
        <v>52</v>
      </c>
      <c r="I204" s="3">
        <v>45653</v>
      </c>
      <c r="J204" t="s">
        <v>13</v>
      </c>
      <c r="K204" t="s">
        <v>14</v>
      </c>
      <c r="L204" t="s">
        <v>35</v>
      </c>
    </row>
    <row r="205" spans="1:12" x14ac:dyDescent="0.25">
      <c r="A205" t="s">
        <v>245</v>
      </c>
      <c r="B205" t="s">
        <v>521</v>
      </c>
      <c r="C205">
        <v>984040798</v>
      </c>
      <c r="D205">
        <v>25990000</v>
      </c>
      <c r="E205" s="1">
        <v>1</v>
      </c>
      <c r="F205" s="1">
        <f t="shared" si="9"/>
        <v>25990000</v>
      </c>
      <c r="G205" s="1">
        <f t="shared" si="10"/>
        <v>12</v>
      </c>
      <c r="H205" s="1">
        <f t="shared" si="11"/>
        <v>51</v>
      </c>
      <c r="I205" s="3">
        <v>45646</v>
      </c>
      <c r="J205" t="s">
        <v>11</v>
      </c>
      <c r="K205" t="s">
        <v>14</v>
      </c>
      <c r="L205" t="s">
        <v>31</v>
      </c>
    </row>
    <row r="206" spans="1:12" x14ac:dyDescent="0.25">
      <c r="A206" t="s">
        <v>246</v>
      </c>
      <c r="B206" t="s">
        <v>522</v>
      </c>
      <c r="C206">
        <v>963643924</v>
      </c>
      <c r="D206">
        <v>2990000</v>
      </c>
      <c r="E206" s="1">
        <v>3</v>
      </c>
      <c r="F206" s="1">
        <f t="shared" si="9"/>
        <v>8970000</v>
      </c>
      <c r="G206" s="1">
        <f t="shared" si="10"/>
        <v>12</v>
      </c>
      <c r="H206" s="1">
        <f t="shared" si="11"/>
        <v>52</v>
      </c>
      <c r="I206" s="3">
        <v>45653</v>
      </c>
      <c r="J206" t="s">
        <v>12</v>
      </c>
      <c r="K206" t="s">
        <v>15</v>
      </c>
      <c r="L206" t="s">
        <v>29</v>
      </c>
    </row>
    <row r="207" spans="1:12" x14ac:dyDescent="0.25">
      <c r="A207" t="s">
        <v>247</v>
      </c>
      <c r="B207" t="s">
        <v>523</v>
      </c>
      <c r="C207">
        <v>966519399</v>
      </c>
      <c r="D207">
        <v>12500000</v>
      </c>
      <c r="E207" s="1">
        <v>2</v>
      </c>
      <c r="F207" s="1">
        <f t="shared" si="9"/>
        <v>25000000</v>
      </c>
      <c r="G207" s="1">
        <f t="shared" si="10"/>
        <v>12</v>
      </c>
      <c r="H207" s="1">
        <f t="shared" si="11"/>
        <v>51</v>
      </c>
      <c r="I207" s="3">
        <v>45642</v>
      </c>
      <c r="J207" t="s">
        <v>11</v>
      </c>
      <c r="K207" t="s">
        <v>16</v>
      </c>
      <c r="L207" t="s">
        <v>25</v>
      </c>
    </row>
    <row r="208" spans="1:12" x14ac:dyDescent="0.25">
      <c r="A208" t="s">
        <v>248</v>
      </c>
      <c r="B208" t="s">
        <v>524</v>
      </c>
      <c r="C208">
        <v>919067690</v>
      </c>
      <c r="D208">
        <v>9990000</v>
      </c>
      <c r="E208" s="1" t="s">
        <v>8</v>
      </c>
      <c r="F208" s="1">
        <f t="shared" si="9"/>
        <v>9990000</v>
      </c>
      <c r="G208" s="1">
        <f t="shared" si="10"/>
        <v>12</v>
      </c>
      <c r="H208" s="1">
        <f t="shared" si="11"/>
        <v>50</v>
      </c>
      <c r="I208" s="3">
        <v>45634</v>
      </c>
      <c r="J208" t="s">
        <v>12</v>
      </c>
      <c r="K208" t="s">
        <v>16</v>
      </c>
      <c r="L208" t="s">
        <v>30</v>
      </c>
    </row>
    <row r="209" spans="1:12" x14ac:dyDescent="0.25">
      <c r="A209" t="s">
        <v>249</v>
      </c>
      <c r="B209" t="s">
        <v>525</v>
      </c>
      <c r="C209">
        <v>917849494</v>
      </c>
      <c r="D209">
        <v>280000</v>
      </c>
      <c r="E209" s="1" t="s">
        <v>8</v>
      </c>
      <c r="F209" s="1">
        <f t="shared" si="9"/>
        <v>280000</v>
      </c>
      <c r="G209" s="1">
        <f t="shared" si="10"/>
        <v>12</v>
      </c>
      <c r="H209" s="1">
        <f t="shared" si="11"/>
        <v>52</v>
      </c>
      <c r="I209" s="3">
        <v>45650</v>
      </c>
      <c r="J209" t="s">
        <v>13</v>
      </c>
      <c r="K209" t="s">
        <v>15</v>
      </c>
      <c r="L209" t="s">
        <v>37</v>
      </c>
    </row>
    <row r="210" spans="1:12" x14ac:dyDescent="0.25">
      <c r="A210" t="s">
        <v>250</v>
      </c>
      <c r="B210" t="s">
        <v>526</v>
      </c>
      <c r="C210">
        <v>929776801</v>
      </c>
      <c r="D210">
        <v>8900000</v>
      </c>
      <c r="E210" s="1">
        <v>2</v>
      </c>
      <c r="F210" s="1">
        <f t="shared" si="9"/>
        <v>17800000</v>
      </c>
      <c r="G210" s="1">
        <f t="shared" si="10"/>
        <v>12</v>
      </c>
      <c r="H210" s="1">
        <f t="shared" si="11"/>
        <v>49</v>
      </c>
      <c r="I210" s="3">
        <v>45629</v>
      </c>
      <c r="J210" t="s">
        <v>12</v>
      </c>
      <c r="K210" t="s">
        <v>16</v>
      </c>
      <c r="L210" t="s">
        <v>26</v>
      </c>
    </row>
    <row r="211" spans="1:12" x14ac:dyDescent="0.25">
      <c r="A211" t="s">
        <v>251</v>
      </c>
      <c r="B211" t="s">
        <v>527</v>
      </c>
      <c r="C211">
        <v>916533225</v>
      </c>
      <c r="D211">
        <v>9990000</v>
      </c>
      <c r="E211" s="1">
        <v>2</v>
      </c>
      <c r="F211" s="1">
        <f t="shared" si="9"/>
        <v>19980000</v>
      </c>
      <c r="G211" s="1">
        <f t="shared" si="10"/>
        <v>12</v>
      </c>
      <c r="H211" s="1">
        <f t="shared" si="11"/>
        <v>52</v>
      </c>
      <c r="I211" s="3">
        <v>45650</v>
      </c>
      <c r="J211" t="s">
        <v>13</v>
      </c>
      <c r="K211" t="s">
        <v>14</v>
      </c>
      <c r="L211" t="s">
        <v>17</v>
      </c>
    </row>
    <row r="212" spans="1:12" x14ac:dyDescent="0.25">
      <c r="A212" t="s">
        <v>252</v>
      </c>
      <c r="B212" t="s">
        <v>528</v>
      </c>
      <c r="C212">
        <v>956323191</v>
      </c>
      <c r="D212">
        <v>190000</v>
      </c>
      <c r="E212" s="1">
        <v>3</v>
      </c>
      <c r="F212" s="1">
        <f t="shared" si="9"/>
        <v>570000</v>
      </c>
      <c r="G212" s="1">
        <f t="shared" si="10"/>
        <v>12</v>
      </c>
      <c r="H212" s="1">
        <f t="shared" si="11"/>
        <v>52</v>
      </c>
      <c r="I212" s="3">
        <v>45652</v>
      </c>
      <c r="J212" t="s">
        <v>11</v>
      </c>
      <c r="K212" t="s">
        <v>15</v>
      </c>
      <c r="L212" t="s">
        <v>27</v>
      </c>
    </row>
    <row r="213" spans="1:12" x14ac:dyDescent="0.25">
      <c r="A213" t="s">
        <v>253</v>
      </c>
      <c r="B213" t="s">
        <v>529</v>
      </c>
      <c r="C213">
        <v>951374957</v>
      </c>
      <c r="D213">
        <v>350000</v>
      </c>
      <c r="E213" s="1">
        <v>1</v>
      </c>
      <c r="F213" s="1">
        <f t="shared" si="9"/>
        <v>350000</v>
      </c>
      <c r="G213" s="1">
        <f t="shared" si="10"/>
        <v>12</v>
      </c>
      <c r="H213" s="1">
        <f t="shared" si="11"/>
        <v>50</v>
      </c>
      <c r="I213" s="3">
        <v>45638</v>
      </c>
      <c r="J213" t="s">
        <v>12</v>
      </c>
      <c r="K213" t="s">
        <v>15</v>
      </c>
      <c r="L213" t="s">
        <v>18</v>
      </c>
    </row>
    <row r="214" spans="1:12" x14ac:dyDescent="0.25">
      <c r="A214" t="s">
        <v>254</v>
      </c>
      <c r="B214" t="s">
        <v>530</v>
      </c>
      <c r="C214">
        <v>919768947</v>
      </c>
      <c r="D214">
        <v>18990000</v>
      </c>
      <c r="E214" s="1">
        <v>1</v>
      </c>
      <c r="F214" s="1">
        <f t="shared" si="9"/>
        <v>18990000</v>
      </c>
      <c r="G214" s="1">
        <f t="shared" si="10"/>
        <v>12</v>
      </c>
      <c r="H214" s="1">
        <f t="shared" si="11"/>
        <v>52</v>
      </c>
      <c r="I214" s="3">
        <v>45652</v>
      </c>
      <c r="J214" t="s">
        <v>12</v>
      </c>
      <c r="K214" t="s">
        <v>14</v>
      </c>
      <c r="L214" t="s">
        <v>19</v>
      </c>
    </row>
    <row r="215" spans="1:12" x14ac:dyDescent="0.25">
      <c r="A215" t="s">
        <v>255</v>
      </c>
      <c r="B215" t="s">
        <v>531</v>
      </c>
      <c r="C215">
        <v>954699966</v>
      </c>
      <c r="D215">
        <v>150000</v>
      </c>
      <c r="E215" s="1" t="s">
        <v>6</v>
      </c>
      <c r="F215" s="1">
        <f t="shared" si="9"/>
        <v>300000</v>
      </c>
      <c r="G215" s="1">
        <f t="shared" si="10"/>
        <v>12</v>
      </c>
      <c r="H215" s="1">
        <f t="shared" si="11"/>
        <v>51</v>
      </c>
      <c r="I215" s="3">
        <v>45643</v>
      </c>
      <c r="J215" t="s">
        <v>13</v>
      </c>
      <c r="K215" t="s">
        <v>15</v>
      </c>
      <c r="L215" t="s">
        <v>32</v>
      </c>
    </row>
    <row r="216" spans="1:12" x14ac:dyDescent="0.25">
      <c r="A216" t="s">
        <v>256</v>
      </c>
      <c r="B216" t="s">
        <v>532</v>
      </c>
      <c r="C216">
        <v>990099897</v>
      </c>
      <c r="D216">
        <v>12500000</v>
      </c>
      <c r="E216" s="1">
        <v>2</v>
      </c>
      <c r="F216" s="1">
        <f t="shared" si="9"/>
        <v>25000000</v>
      </c>
      <c r="G216" s="1">
        <f t="shared" si="10"/>
        <v>12</v>
      </c>
      <c r="H216" s="1">
        <f t="shared" si="11"/>
        <v>49</v>
      </c>
      <c r="I216" s="3">
        <v>45630</v>
      </c>
      <c r="J216" t="s">
        <v>12</v>
      </c>
      <c r="K216" t="s">
        <v>16</v>
      </c>
      <c r="L216" t="s">
        <v>25</v>
      </c>
    </row>
    <row r="217" spans="1:12" x14ac:dyDescent="0.25">
      <c r="A217" t="s">
        <v>257</v>
      </c>
      <c r="B217" t="s">
        <v>533</v>
      </c>
      <c r="C217">
        <v>998550256</v>
      </c>
      <c r="D217">
        <v>150000</v>
      </c>
      <c r="E217" s="1">
        <v>2</v>
      </c>
      <c r="F217" s="1">
        <f t="shared" si="9"/>
        <v>300000</v>
      </c>
      <c r="G217" s="1">
        <f t="shared" si="10"/>
        <v>12</v>
      </c>
      <c r="H217" s="1">
        <f t="shared" si="11"/>
        <v>53</v>
      </c>
      <c r="I217" s="3">
        <v>45657</v>
      </c>
      <c r="J217" t="s">
        <v>11</v>
      </c>
      <c r="K217" t="s">
        <v>15</v>
      </c>
      <c r="L217" t="s">
        <v>32</v>
      </c>
    </row>
    <row r="218" spans="1:12" x14ac:dyDescent="0.25">
      <c r="A218" t="s">
        <v>258</v>
      </c>
      <c r="B218" t="s">
        <v>534</v>
      </c>
      <c r="C218">
        <v>969421007</v>
      </c>
      <c r="D218">
        <v>12500000</v>
      </c>
      <c r="E218" s="1">
        <v>2</v>
      </c>
      <c r="F218" s="1">
        <f t="shared" si="9"/>
        <v>25000000</v>
      </c>
      <c r="G218" s="1">
        <f t="shared" si="10"/>
        <v>12</v>
      </c>
      <c r="H218" s="1">
        <f t="shared" si="11"/>
        <v>52</v>
      </c>
      <c r="I218" s="3">
        <v>45654</v>
      </c>
      <c r="J218" t="s">
        <v>13</v>
      </c>
      <c r="K218" t="s">
        <v>16</v>
      </c>
      <c r="L218" t="s">
        <v>25</v>
      </c>
    </row>
    <row r="219" spans="1:12" x14ac:dyDescent="0.25">
      <c r="A219" t="s">
        <v>259</v>
      </c>
      <c r="B219" t="s">
        <v>535</v>
      </c>
      <c r="C219">
        <v>973280554</v>
      </c>
      <c r="D219">
        <v>12500000</v>
      </c>
      <c r="E219" s="1" t="s">
        <v>6</v>
      </c>
      <c r="F219" s="1">
        <f t="shared" si="9"/>
        <v>25000000</v>
      </c>
      <c r="G219" s="1">
        <f t="shared" si="10"/>
        <v>12</v>
      </c>
      <c r="H219" s="1">
        <f t="shared" si="11"/>
        <v>51</v>
      </c>
      <c r="I219" s="3">
        <v>45646</v>
      </c>
      <c r="J219" t="s">
        <v>13</v>
      </c>
      <c r="K219" t="s">
        <v>14</v>
      </c>
      <c r="L219" t="s">
        <v>36</v>
      </c>
    </row>
    <row r="220" spans="1:12" x14ac:dyDescent="0.25">
      <c r="A220" t="s">
        <v>260</v>
      </c>
      <c r="B220" t="s">
        <v>536</v>
      </c>
      <c r="C220">
        <v>935074182</v>
      </c>
      <c r="D220">
        <v>150000</v>
      </c>
      <c r="E220" s="1" t="s">
        <v>9</v>
      </c>
      <c r="F220" s="1">
        <f t="shared" si="9"/>
        <v>450000</v>
      </c>
      <c r="G220" s="1">
        <f t="shared" si="10"/>
        <v>12</v>
      </c>
      <c r="H220" s="1">
        <f t="shared" si="11"/>
        <v>52</v>
      </c>
      <c r="I220" s="3">
        <v>45649</v>
      </c>
      <c r="J220" t="s">
        <v>13</v>
      </c>
      <c r="K220" t="s">
        <v>15</v>
      </c>
      <c r="L220" t="s">
        <v>32</v>
      </c>
    </row>
    <row r="221" spans="1:12" x14ac:dyDescent="0.25">
      <c r="A221" t="s">
        <v>261</v>
      </c>
      <c r="B221" t="s">
        <v>537</v>
      </c>
      <c r="C221">
        <v>946578001</v>
      </c>
      <c r="D221">
        <v>15990000</v>
      </c>
      <c r="E221" s="1" t="s">
        <v>6</v>
      </c>
      <c r="F221" s="1">
        <f t="shared" si="9"/>
        <v>31980000</v>
      </c>
      <c r="G221" s="1">
        <f t="shared" si="10"/>
        <v>9</v>
      </c>
      <c r="H221" s="1">
        <f t="shared" si="11"/>
        <v>37</v>
      </c>
      <c r="I221" s="3">
        <v>45547</v>
      </c>
      <c r="J221" t="s">
        <v>13</v>
      </c>
      <c r="K221" t="s">
        <v>14</v>
      </c>
      <c r="L221" t="s">
        <v>22</v>
      </c>
    </row>
    <row r="222" spans="1:12" x14ac:dyDescent="0.25">
      <c r="A222" t="s">
        <v>262</v>
      </c>
      <c r="B222" t="s">
        <v>538</v>
      </c>
      <c r="C222">
        <v>943528453</v>
      </c>
      <c r="D222">
        <v>28990000</v>
      </c>
      <c r="E222" s="1">
        <v>1</v>
      </c>
      <c r="F222" s="1">
        <f t="shared" si="9"/>
        <v>28990000</v>
      </c>
      <c r="G222" s="1">
        <f t="shared" si="10"/>
        <v>12</v>
      </c>
      <c r="H222" s="1">
        <f t="shared" si="11"/>
        <v>51</v>
      </c>
      <c r="I222" s="3">
        <v>45641</v>
      </c>
      <c r="J222" t="s">
        <v>11</v>
      </c>
      <c r="K222" t="s">
        <v>14</v>
      </c>
      <c r="L222" t="s">
        <v>23</v>
      </c>
    </row>
    <row r="223" spans="1:12" x14ac:dyDescent="0.25">
      <c r="A223" t="s">
        <v>263</v>
      </c>
      <c r="B223" t="s">
        <v>539</v>
      </c>
      <c r="C223">
        <v>919208698</v>
      </c>
      <c r="D223">
        <v>190000</v>
      </c>
      <c r="E223" s="1">
        <v>5</v>
      </c>
      <c r="F223" s="1">
        <f t="shared" si="9"/>
        <v>950000</v>
      </c>
      <c r="G223" s="1">
        <f t="shared" si="10"/>
        <v>12</v>
      </c>
      <c r="H223" s="1">
        <f t="shared" si="11"/>
        <v>51</v>
      </c>
      <c r="I223" s="3">
        <v>45644</v>
      </c>
      <c r="J223" t="s">
        <v>13</v>
      </c>
      <c r="K223" t="s">
        <v>15</v>
      </c>
      <c r="L223" t="s">
        <v>27</v>
      </c>
    </row>
    <row r="224" spans="1:12" x14ac:dyDescent="0.25">
      <c r="A224" t="s">
        <v>264</v>
      </c>
      <c r="B224" t="s">
        <v>540</v>
      </c>
      <c r="C224">
        <v>929228089</v>
      </c>
      <c r="D224">
        <v>2990000</v>
      </c>
      <c r="E224" s="1">
        <v>4</v>
      </c>
      <c r="F224" s="1">
        <f t="shared" si="9"/>
        <v>11960000</v>
      </c>
      <c r="G224" s="1">
        <f t="shared" si="10"/>
        <v>12</v>
      </c>
      <c r="H224" s="1">
        <f t="shared" si="11"/>
        <v>51</v>
      </c>
      <c r="I224" s="3">
        <v>45643</v>
      </c>
      <c r="J224" t="s">
        <v>11</v>
      </c>
      <c r="K224" t="s">
        <v>15</v>
      </c>
      <c r="L224" t="s">
        <v>29</v>
      </c>
    </row>
    <row r="225" spans="1:12" x14ac:dyDescent="0.25">
      <c r="A225" t="s">
        <v>265</v>
      </c>
      <c r="B225" t="s">
        <v>541</v>
      </c>
      <c r="C225">
        <v>924524825</v>
      </c>
      <c r="D225">
        <v>9990000</v>
      </c>
      <c r="E225" s="1">
        <v>2</v>
      </c>
      <c r="F225" s="1">
        <f t="shared" si="9"/>
        <v>19980000</v>
      </c>
      <c r="G225" s="1">
        <f t="shared" si="10"/>
        <v>12</v>
      </c>
      <c r="H225" s="1">
        <f t="shared" si="11"/>
        <v>52</v>
      </c>
      <c r="I225" s="3">
        <v>45654</v>
      </c>
      <c r="J225" t="s">
        <v>11</v>
      </c>
      <c r="K225" t="s">
        <v>16</v>
      </c>
      <c r="L225" t="s">
        <v>30</v>
      </c>
    </row>
    <row r="226" spans="1:12" x14ac:dyDescent="0.25">
      <c r="A226" t="s">
        <v>266</v>
      </c>
      <c r="B226" t="s">
        <v>542</v>
      </c>
      <c r="C226">
        <v>939372360</v>
      </c>
      <c r="D226">
        <v>15990000</v>
      </c>
      <c r="E226" s="1">
        <v>2</v>
      </c>
      <c r="F226" s="1">
        <f t="shared" si="9"/>
        <v>31980000</v>
      </c>
      <c r="G226" s="1">
        <f t="shared" si="10"/>
        <v>12</v>
      </c>
      <c r="H226" s="1">
        <f t="shared" si="11"/>
        <v>52</v>
      </c>
      <c r="I226" s="3">
        <v>45652</v>
      </c>
      <c r="J226" t="s">
        <v>13</v>
      </c>
      <c r="K226" t="s">
        <v>14</v>
      </c>
      <c r="L226" t="s">
        <v>22</v>
      </c>
    </row>
    <row r="227" spans="1:12" x14ac:dyDescent="0.25">
      <c r="A227" t="s">
        <v>267</v>
      </c>
      <c r="B227" t="s">
        <v>543</v>
      </c>
      <c r="C227">
        <v>997742922</v>
      </c>
      <c r="D227">
        <v>3990000</v>
      </c>
      <c r="E227" s="1">
        <v>1</v>
      </c>
      <c r="F227" s="1">
        <f t="shared" si="9"/>
        <v>3990000</v>
      </c>
      <c r="G227" s="1">
        <f t="shared" si="10"/>
        <v>12</v>
      </c>
      <c r="H227" s="1">
        <f t="shared" si="11"/>
        <v>52</v>
      </c>
      <c r="I227" s="3">
        <v>45651</v>
      </c>
      <c r="J227" t="s">
        <v>11</v>
      </c>
      <c r="K227" t="s">
        <v>15</v>
      </c>
      <c r="L227" t="s">
        <v>33</v>
      </c>
    </row>
    <row r="228" spans="1:12" x14ac:dyDescent="0.25">
      <c r="A228" t="s">
        <v>268</v>
      </c>
      <c r="B228" t="s">
        <v>544</v>
      </c>
      <c r="C228">
        <v>925659979</v>
      </c>
      <c r="D228">
        <v>25990000</v>
      </c>
      <c r="E228" s="1">
        <v>2</v>
      </c>
      <c r="F228" s="1">
        <f t="shared" si="9"/>
        <v>51980000</v>
      </c>
      <c r="G228" s="1">
        <f t="shared" si="10"/>
        <v>12</v>
      </c>
      <c r="H228" s="1">
        <f t="shared" si="11"/>
        <v>49</v>
      </c>
      <c r="I228" s="3">
        <v>45628</v>
      </c>
      <c r="J228" t="s">
        <v>13</v>
      </c>
      <c r="K228" t="s">
        <v>14</v>
      </c>
      <c r="L228" t="s">
        <v>31</v>
      </c>
    </row>
    <row r="229" spans="1:12" x14ac:dyDescent="0.25">
      <c r="A229" t="s">
        <v>269</v>
      </c>
      <c r="B229" t="s">
        <v>545</v>
      </c>
      <c r="C229">
        <v>913471527</v>
      </c>
      <c r="D229">
        <v>28990000</v>
      </c>
      <c r="E229" s="1" t="s">
        <v>8</v>
      </c>
      <c r="F229" s="1">
        <f t="shared" si="9"/>
        <v>28990000</v>
      </c>
      <c r="G229" s="1">
        <f t="shared" si="10"/>
        <v>12</v>
      </c>
      <c r="H229" s="1">
        <f t="shared" si="11"/>
        <v>50</v>
      </c>
      <c r="I229" s="3">
        <v>45634</v>
      </c>
      <c r="J229" t="s">
        <v>11</v>
      </c>
      <c r="K229" t="s">
        <v>14</v>
      </c>
      <c r="L229" t="s">
        <v>23</v>
      </c>
    </row>
    <row r="230" spans="1:12" x14ac:dyDescent="0.25">
      <c r="A230" t="s">
        <v>270</v>
      </c>
      <c r="B230" t="s">
        <v>546</v>
      </c>
      <c r="C230">
        <v>918770247</v>
      </c>
      <c r="D230">
        <v>8990000</v>
      </c>
      <c r="E230" s="1">
        <v>1</v>
      </c>
      <c r="F230" s="1">
        <f t="shared" si="9"/>
        <v>8990000</v>
      </c>
      <c r="G230" s="1">
        <f t="shared" si="10"/>
        <v>12</v>
      </c>
      <c r="H230" s="1">
        <f t="shared" si="11"/>
        <v>51</v>
      </c>
      <c r="I230" s="3">
        <v>45642</v>
      </c>
      <c r="J230" t="s">
        <v>11</v>
      </c>
      <c r="K230" t="s">
        <v>16</v>
      </c>
      <c r="L230" t="s">
        <v>39</v>
      </c>
    </row>
    <row r="231" spans="1:12" x14ac:dyDescent="0.25">
      <c r="A231" t="s">
        <v>271</v>
      </c>
      <c r="B231" t="s">
        <v>547</v>
      </c>
      <c r="C231">
        <v>964807553</v>
      </c>
      <c r="D231">
        <v>18490000</v>
      </c>
      <c r="E231" s="1">
        <v>1</v>
      </c>
      <c r="F231" s="1">
        <f t="shared" si="9"/>
        <v>18490000</v>
      </c>
      <c r="G231" s="1">
        <f t="shared" si="10"/>
        <v>12</v>
      </c>
      <c r="H231" s="1">
        <f t="shared" si="11"/>
        <v>50</v>
      </c>
      <c r="I231" s="3">
        <v>45637</v>
      </c>
      <c r="J231" t="s">
        <v>11</v>
      </c>
      <c r="K231" t="s">
        <v>16</v>
      </c>
      <c r="L231" t="s">
        <v>24</v>
      </c>
    </row>
    <row r="232" spans="1:12" x14ac:dyDescent="0.25">
      <c r="A232" t="s">
        <v>272</v>
      </c>
      <c r="B232" t="s">
        <v>548</v>
      </c>
      <c r="C232">
        <v>969302158</v>
      </c>
      <c r="D232">
        <v>450000</v>
      </c>
      <c r="E232" s="1">
        <v>5</v>
      </c>
      <c r="F232" s="1">
        <f t="shared" si="9"/>
        <v>2250000</v>
      </c>
      <c r="G232" s="1">
        <f t="shared" si="10"/>
        <v>12</v>
      </c>
      <c r="H232" s="1">
        <f t="shared" si="11"/>
        <v>52</v>
      </c>
      <c r="I232" s="3">
        <v>45649</v>
      </c>
      <c r="J232" t="s">
        <v>11</v>
      </c>
      <c r="K232" t="s">
        <v>15</v>
      </c>
      <c r="L232" t="s">
        <v>28</v>
      </c>
    </row>
    <row r="233" spans="1:12" x14ac:dyDescent="0.25">
      <c r="A233" t="s">
        <v>273</v>
      </c>
      <c r="B233" t="s">
        <v>549</v>
      </c>
      <c r="C233">
        <v>926460116</v>
      </c>
      <c r="D233">
        <v>25990000</v>
      </c>
      <c r="E233" s="1">
        <v>2</v>
      </c>
      <c r="F233" s="1">
        <f t="shared" si="9"/>
        <v>51980000</v>
      </c>
      <c r="G233" s="1">
        <f t="shared" si="10"/>
        <v>12</v>
      </c>
      <c r="H233" s="1">
        <f t="shared" si="11"/>
        <v>52</v>
      </c>
      <c r="I233" s="3">
        <v>45654</v>
      </c>
      <c r="J233" t="s">
        <v>12</v>
      </c>
      <c r="K233" t="s">
        <v>14</v>
      </c>
      <c r="L233" t="s">
        <v>31</v>
      </c>
    </row>
    <row r="234" spans="1:12" x14ac:dyDescent="0.25">
      <c r="A234" t="s">
        <v>274</v>
      </c>
      <c r="B234" t="s">
        <v>550</v>
      </c>
      <c r="C234">
        <v>981394920</v>
      </c>
      <c r="D234">
        <v>8990000</v>
      </c>
      <c r="E234" s="1">
        <v>1</v>
      </c>
      <c r="F234" s="1">
        <f t="shared" si="9"/>
        <v>8990000</v>
      </c>
      <c r="G234" s="1">
        <f t="shared" si="10"/>
        <v>12</v>
      </c>
      <c r="H234" s="1">
        <f t="shared" si="11"/>
        <v>52</v>
      </c>
      <c r="I234" s="3">
        <v>45653</v>
      </c>
      <c r="J234" t="s">
        <v>12</v>
      </c>
      <c r="K234" t="s">
        <v>16</v>
      </c>
      <c r="L234" t="s">
        <v>39</v>
      </c>
    </row>
    <row r="235" spans="1:12" x14ac:dyDescent="0.25">
      <c r="A235" t="s">
        <v>275</v>
      </c>
      <c r="B235" t="s">
        <v>551</v>
      </c>
      <c r="C235">
        <v>935606639</v>
      </c>
      <c r="D235">
        <v>12500000</v>
      </c>
      <c r="E235" s="1">
        <v>2</v>
      </c>
      <c r="F235" s="1">
        <f t="shared" si="9"/>
        <v>25000000</v>
      </c>
      <c r="G235" s="1">
        <f t="shared" si="10"/>
        <v>12</v>
      </c>
      <c r="H235" s="1">
        <f t="shared" si="11"/>
        <v>51</v>
      </c>
      <c r="I235" s="3">
        <v>45641</v>
      </c>
      <c r="J235" t="s">
        <v>13</v>
      </c>
      <c r="K235" t="s">
        <v>14</v>
      </c>
      <c r="L235" t="s">
        <v>36</v>
      </c>
    </row>
    <row r="236" spans="1:12" x14ac:dyDescent="0.25">
      <c r="A236" t="s">
        <v>276</v>
      </c>
      <c r="B236" t="s">
        <v>552</v>
      </c>
      <c r="C236">
        <v>987337818</v>
      </c>
      <c r="D236">
        <v>150000</v>
      </c>
      <c r="E236" s="1">
        <v>4</v>
      </c>
      <c r="F236" s="1">
        <f t="shared" si="9"/>
        <v>600000</v>
      </c>
      <c r="G236" s="1">
        <f t="shared" si="10"/>
        <v>8</v>
      </c>
      <c r="H236" s="1">
        <f t="shared" si="11"/>
        <v>33</v>
      </c>
      <c r="I236" s="3">
        <v>45516</v>
      </c>
      <c r="J236" t="s">
        <v>11</v>
      </c>
      <c r="K236" t="s">
        <v>15</v>
      </c>
      <c r="L236" t="s">
        <v>32</v>
      </c>
    </row>
    <row r="237" spans="1:12" x14ac:dyDescent="0.25">
      <c r="A237" t="s">
        <v>277</v>
      </c>
      <c r="B237" t="s">
        <v>553</v>
      </c>
      <c r="C237">
        <v>960527631</v>
      </c>
      <c r="D237">
        <v>15990000</v>
      </c>
      <c r="E237" s="1">
        <v>2</v>
      </c>
      <c r="F237" s="1">
        <f t="shared" si="9"/>
        <v>31980000</v>
      </c>
      <c r="G237" s="1">
        <f t="shared" si="10"/>
        <v>12</v>
      </c>
      <c r="H237" s="1">
        <f t="shared" si="11"/>
        <v>52</v>
      </c>
      <c r="I237" s="3">
        <v>45651</v>
      </c>
      <c r="J237" t="s">
        <v>12</v>
      </c>
      <c r="K237" t="s">
        <v>14</v>
      </c>
      <c r="L237" t="s">
        <v>22</v>
      </c>
    </row>
    <row r="238" spans="1:12" x14ac:dyDescent="0.25">
      <c r="A238" t="s">
        <v>278</v>
      </c>
      <c r="B238" t="s">
        <v>554</v>
      </c>
      <c r="C238">
        <v>917749299</v>
      </c>
      <c r="D238">
        <v>450000</v>
      </c>
      <c r="E238" s="1" t="s">
        <v>9</v>
      </c>
      <c r="F238" s="1">
        <f t="shared" si="9"/>
        <v>1350000</v>
      </c>
      <c r="G238" s="1">
        <f t="shared" si="10"/>
        <v>12</v>
      </c>
      <c r="H238" s="1">
        <f t="shared" si="11"/>
        <v>51</v>
      </c>
      <c r="I238" s="3">
        <v>45641</v>
      </c>
      <c r="J238" t="s">
        <v>12</v>
      </c>
      <c r="K238" t="s">
        <v>15</v>
      </c>
      <c r="L238" t="s">
        <v>28</v>
      </c>
    </row>
    <row r="239" spans="1:12" x14ac:dyDescent="0.25">
      <c r="A239" t="s">
        <v>279</v>
      </c>
      <c r="B239" t="s">
        <v>555</v>
      </c>
      <c r="C239">
        <v>983363160</v>
      </c>
      <c r="D239">
        <v>15990000</v>
      </c>
      <c r="E239" s="1" t="s">
        <v>6</v>
      </c>
      <c r="F239" s="1">
        <f t="shared" si="9"/>
        <v>31980000</v>
      </c>
      <c r="G239" s="1">
        <f t="shared" si="10"/>
        <v>3</v>
      </c>
      <c r="H239" s="1">
        <f t="shared" si="11"/>
        <v>11</v>
      </c>
      <c r="I239" s="3">
        <v>45363</v>
      </c>
      <c r="J239" t="s">
        <v>12</v>
      </c>
      <c r="K239" t="s">
        <v>14</v>
      </c>
      <c r="L239" t="s">
        <v>22</v>
      </c>
    </row>
    <row r="240" spans="1:12" x14ac:dyDescent="0.25">
      <c r="A240" t="s">
        <v>280</v>
      </c>
      <c r="B240" t="s">
        <v>556</v>
      </c>
      <c r="C240">
        <v>935848226</v>
      </c>
      <c r="D240">
        <v>18490000</v>
      </c>
      <c r="E240" s="1">
        <v>1</v>
      </c>
      <c r="F240" s="1">
        <f t="shared" si="9"/>
        <v>18490000</v>
      </c>
      <c r="G240" s="1">
        <f t="shared" si="10"/>
        <v>12</v>
      </c>
      <c r="H240" s="1">
        <f t="shared" si="11"/>
        <v>49</v>
      </c>
      <c r="I240" s="3">
        <v>45630</v>
      </c>
      <c r="J240" t="s">
        <v>12</v>
      </c>
      <c r="K240" t="s">
        <v>16</v>
      </c>
      <c r="L240" t="s">
        <v>24</v>
      </c>
    </row>
    <row r="241" spans="1:12" x14ac:dyDescent="0.25">
      <c r="A241" t="s">
        <v>281</v>
      </c>
      <c r="B241" t="s">
        <v>557</v>
      </c>
      <c r="C241">
        <v>999600766</v>
      </c>
      <c r="D241">
        <v>890000</v>
      </c>
      <c r="E241" s="1">
        <v>3</v>
      </c>
      <c r="F241" s="1">
        <f t="shared" si="9"/>
        <v>2670000</v>
      </c>
      <c r="G241" s="1">
        <f t="shared" si="10"/>
        <v>12</v>
      </c>
      <c r="H241" s="1">
        <f t="shared" si="11"/>
        <v>51</v>
      </c>
      <c r="I241" s="3">
        <v>45644</v>
      </c>
      <c r="J241" t="s">
        <v>11</v>
      </c>
      <c r="K241" t="s">
        <v>15</v>
      </c>
      <c r="L241" t="s">
        <v>40</v>
      </c>
    </row>
    <row r="242" spans="1:12" x14ac:dyDescent="0.25">
      <c r="A242" t="s">
        <v>282</v>
      </c>
      <c r="B242" t="s">
        <v>499</v>
      </c>
      <c r="C242">
        <v>985482164</v>
      </c>
      <c r="D242">
        <v>8900000</v>
      </c>
      <c r="E242" s="1">
        <v>1</v>
      </c>
      <c r="F242" s="1">
        <f t="shared" si="9"/>
        <v>8900000</v>
      </c>
      <c r="G242" s="1">
        <f t="shared" si="10"/>
        <v>12</v>
      </c>
      <c r="H242" s="1">
        <f t="shared" si="11"/>
        <v>53</v>
      </c>
      <c r="I242" s="3">
        <v>45657</v>
      </c>
      <c r="J242" t="s">
        <v>13</v>
      </c>
      <c r="K242" t="s">
        <v>16</v>
      </c>
      <c r="L242" t="s">
        <v>26</v>
      </c>
    </row>
    <row r="243" spans="1:12" x14ac:dyDescent="0.25">
      <c r="A243" t="s">
        <v>283</v>
      </c>
      <c r="B243" t="s">
        <v>558</v>
      </c>
      <c r="C243">
        <v>972820592</v>
      </c>
      <c r="D243">
        <v>890000</v>
      </c>
      <c r="E243" s="1" t="s">
        <v>8</v>
      </c>
      <c r="F243" s="1">
        <f t="shared" si="9"/>
        <v>890000</v>
      </c>
      <c r="G243" s="1">
        <f t="shared" si="10"/>
        <v>12</v>
      </c>
      <c r="H243" s="1">
        <f t="shared" si="11"/>
        <v>50</v>
      </c>
      <c r="I243" s="3">
        <v>45635</v>
      </c>
      <c r="J243" t="s">
        <v>11</v>
      </c>
      <c r="K243" t="s">
        <v>15</v>
      </c>
      <c r="L243" t="s">
        <v>40</v>
      </c>
    </row>
    <row r="244" spans="1:12" x14ac:dyDescent="0.25">
      <c r="A244" t="s">
        <v>284</v>
      </c>
      <c r="B244" t="s">
        <v>559</v>
      </c>
      <c r="C244">
        <v>979173614</v>
      </c>
      <c r="D244">
        <v>8990000</v>
      </c>
      <c r="E244" s="1">
        <v>2</v>
      </c>
      <c r="F244" s="1">
        <f t="shared" si="9"/>
        <v>17980000</v>
      </c>
      <c r="G244" s="1">
        <f t="shared" si="10"/>
        <v>12</v>
      </c>
      <c r="H244" s="1">
        <f t="shared" si="11"/>
        <v>52</v>
      </c>
      <c r="I244" s="3">
        <v>45653</v>
      </c>
      <c r="J244" t="s">
        <v>11</v>
      </c>
      <c r="K244" t="s">
        <v>16</v>
      </c>
      <c r="L244" t="s">
        <v>39</v>
      </c>
    </row>
    <row r="245" spans="1:12" x14ac:dyDescent="0.25">
      <c r="A245" t="s">
        <v>285</v>
      </c>
      <c r="B245" t="s">
        <v>560</v>
      </c>
      <c r="C245">
        <v>946817443</v>
      </c>
      <c r="D245">
        <v>22990000</v>
      </c>
      <c r="E245" s="1" t="s">
        <v>6</v>
      </c>
      <c r="F245" s="1">
        <f t="shared" si="9"/>
        <v>45980000</v>
      </c>
      <c r="G245" s="1">
        <f t="shared" si="10"/>
        <v>12</v>
      </c>
      <c r="H245" s="1">
        <f t="shared" si="11"/>
        <v>49</v>
      </c>
      <c r="I245" s="3">
        <v>45628</v>
      </c>
      <c r="J245" t="s">
        <v>11</v>
      </c>
      <c r="K245" t="s">
        <v>14</v>
      </c>
      <c r="L245" t="s">
        <v>41</v>
      </c>
    </row>
    <row r="246" spans="1:12" x14ac:dyDescent="0.25">
      <c r="A246" t="s">
        <v>286</v>
      </c>
      <c r="B246" t="s">
        <v>561</v>
      </c>
      <c r="C246">
        <v>975540707</v>
      </c>
      <c r="D246">
        <v>15990000</v>
      </c>
      <c r="E246" s="1" t="s">
        <v>8</v>
      </c>
      <c r="F246" s="1">
        <f t="shared" si="9"/>
        <v>15990000</v>
      </c>
      <c r="G246" s="1">
        <f t="shared" si="10"/>
        <v>12</v>
      </c>
      <c r="H246" s="1">
        <f t="shared" si="11"/>
        <v>53</v>
      </c>
      <c r="I246" s="3">
        <v>45656</v>
      </c>
      <c r="J246" t="s">
        <v>13</v>
      </c>
      <c r="K246" t="s">
        <v>14</v>
      </c>
      <c r="L246" t="s">
        <v>22</v>
      </c>
    </row>
    <row r="247" spans="1:12" x14ac:dyDescent="0.25">
      <c r="A247" t="s">
        <v>287</v>
      </c>
      <c r="B247" t="s">
        <v>562</v>
      </c>
      <c r="C247">
        <v>964877191</v>
      </c>
      <c r="D247">
        <v>15990000</v>
      </c>
      <c r="E247" s="1">
        <v>2</v>
      </c>
      <c r="F247" s="1">
        <f t="shared" si="9"/>
        <v>31980000</v>
      </c>
      <c r="G247" s="1">
        <f t="shared" si="10"/>
        <v>12</v>
      </c>
      <c r="H247" s="1">
        <f t="shared" si="11"/>
        <v>52</v>
      </c>
      <c r="I247" s="3">
        <v>45651</v>
      </c>
      <c r="J247" t="s">
        <v>12</v>
      </c>
      <c r="K247" t="s">
        <v>14</v>
      </c>
      <c r="L247" t="s">
        <v>22</v>
      </c>
    </row>
    <row r="248" spans="1:12" x14ac:dyDescent="0.25">
      <c r="A248" t="s">
        <v>288</v>
      </c>
      <c r="B248" t="s">
        <v>563</v>
      </c>
      <c r="C248">
        <v>992594562</v>
      </c>
      <c r="D248">
        <v>8900000</v>
      </c>
      <c r="E248" s="1" t="s">
        <v>6</v>
      </c>
      <c r="F248" s="1">
        <f t="shared" si="9"/>
        <v>17800000</v>
      </c>
      <c r="G248" s="1">
        <f t="shared" si="10"/>
        <v>12</v>
      </c>
      <c r="H248" s="1">
        <f t="shared" si="11"/>
        <v>50</v>
      </c>
      <c r="I248" s="3">
        <v>45634</v>
      </c>
      <c r="J248" t="s">
        <v>13</v>
      </c>
      <c r="K248" t="s">
        <v>16</v>
      </c>
      <c r="L248" t="s">
        <v>26</v>
      </c>
    </row>
    <row r="249" spans="1:12" x14ac:dyDescent="0.25">
      <c r="A249" t="s">
        <v>289</v>
      </c>
      <c r="B249" t="s">
        <v>564</v>
      </c>
      <c r="C249">
        <v>983994695</v>
      </c>
      <c r="D249">
        <v>3990000</v>
      </c>
      <c r="E249" s="1">
        <v>2</v>
      </c>
      <c r="F249" s="1">
        <f t="shared" si="9"/>
        <v>7980000</v>
      </c>
      <c r="G249" s="1">
        <f t="shared" si="10"/>
        <v>12</v>
      </c>
      <c r="H249" s="1">
        <f t="shared" si="11"/>
        <v>51</v>
      </c>
      <c r="I249" s="3">
        <v>45645</v>
      </c>
      <c r="J249" t="s">
        <v>13</v>
      </c>
      <c r="K249" t="s">
        <v>15</v>
      </c>
      <c r="L249" t="s">
        <v>33</v>
      </c>
    </row>
    <row r="250" spans="1:12" x14ac:dyDescent="0.25">
      <c r="A250" t="s">
        <v>290</v>
      </c>
      <c r="B250" t="s">
        <v>565</v>
      </c>
      <c r="C250">
        <v>945002007</v>
      </c>
      <c r="D250">
        <v>8990000</v>
      </c>
      <c r="E250" s="1">
        <v>2</v>
      </c>
      <c r="F250" s="1">
        <f t="shared" si="9"/>
        <v>17980000</v>
      </c>
      <c r="G250" s="1">
        <f t="shared" si="10"/>
        <v>8</v>
      </c>
      <c r="H250" s="1">
        <f t="shared" si="11"/>
        <v>33</v>
      </c>
      <c r="I250" s="3">
        <v>45516</v>
      </c>
      <c r="J250" t="s">
        <v>11</v>
      </c>
      <c r="K250" t="s">
        <v>16</v>
      </c>
      <c r="L250" t="s">
        <v>39</v>
      </c>
    </row>
    <row r="251" spans="1:12" x14ac:dyDescent="0.25">
      <c r="A251" t="s">
        <v>291</v>
      </c>
      <c r="B251" t="s">
        <v>566</v>
      </c>
      <c r="C251">
        <v>989941241</v>
      </c>
      <c r="D251">
        <v>8990000</v>
      </c>
      <c r="E251" s="1" t="s">
        <v>8</v>
      </c>
      <c r="F251" s="1">
        <f t="shared" si="9"/>
        <v>8990000</v>
      </c>
      <c r="G251" s="1">
        <f t="shared" si="10"/>
        <v>12</v>
      </c>
      <c r="H251" s="1">
        <f t="shared" si="11"/>
        <v>52</v>
      </c>
      <c r="I251" s="3">
        <v>45651</v>
      </c>
      <c r="J251" t="s">
        <v>12</v>
      </c>
      <c r="K251" t="s">
        <v>16</v>
      </c>
      <c r="L251" t="s">
        <v>39</v>
      </c>
    </row>
    <row r="252" spans="1:12" x14ac:dyDescent="0.25">
      <c r="A252" t="s">
        <v>292</v>
      </c>
      <c r="B252" t="s">
        <v>567</v>
      </c>
      <c r="C252">
        <v>998329927</v>
      </c>
      <c r="D252">
        <v>22990000</v>
      </c>
      <c r="E252" s="1">
        <v>1</v>
      </c>
      <c r="F252" s="1">
        <f t="shared" si="9"/>
        <v>22990000</v>
      </c>
      <c r="G252" s="1">
        <f t="shared" si="10"/>
        <v>6</v>
      </c>
      <c r="H252" s="1">
        <f t="shared" si="11"/>
        <v>24</v>
      </c>
      <c r="I252" s="3">
        <v>45455</v>
      </c>
      <c r="J252" t="s">
        <v>11</v>
      </c>
      <c r="K252" t="s">
        <v>14</v>
      </c>
      <c r="L252" t="s">
        <v>41</v>
      </c>
    </row>
    <row r="253" spans="1:12" x14ac:dyDescent="0.25">
      <c r="A253" t="s">
        <v>293</v>
      </c>
      <c r="B253" t="s">
        <v>568</v>
      </c>
      <c r="C253">
        <v>920605783</v>
      </c>
      <c r="D253">
        <v>9990000</v>
      </c>
      <c r="E253" s="1" t="s">
        <v>6</v>
      </c>
      <c r="F253" s="1">
        <f t="shared" si="9"/>
        <v>19980000</v>
      </c>
      <c r="G253" s="1">
        <f t="shared" si="10"/>
        <v>12</v>
      </c>
      <c r="H253" s="1">
        <f t="shared" si="11"/>
        <v>53</v>
      </c>
      <c r="I253" s="3">
        <v>45657</v>
      </c>
      <c r="J253" t="s">
        <v>11</v>
      </c>
      <c r="K253" t="s">
        <v>16</v>
      </c>
      <c r="L253" t="s">
        <v>30</v>
      </c>
    </row>
    <row r="254" spans="1:12" x14ac:dyDescent="0.25">
      <c r="A254" t="s">
        <v>294</v>
      </c>
      <c r="B254" t="s">
        <v>346</v>
      </c>
      <c r="C254">
        <v>940281491</v>
      </c>
      <c r="D254">
        <v>2990000</v>
      </c>
      <c r="E254" s="1" t="s">
        <v>7</v>
      </c>
      <c r="F254" s="1">
        <f t="shared" si="9"/>
        <v>11960000</v>
      </c>
      <c r="G254" s="1">
        <f t="shared" si="10"/>
        <v>12</v>
      </c>
      <c r="H254" s="1">
        <f t="shared" si="11"/>
        <v>52</v>
      </c>
      <c r="I254" s="3">
        <v>45650</v>
      </c>
      <c r="J254" t="s">
        <v>12</v>
      </c>
      <c r="K254" t="s">
        <v>15</v>
      </c>
      <c r="L254" t="s">
        <v>29</v>
      </c>
    </row>
    <row r="255" spans="1:12" x14ac:dyDescent="0.25">
      <c r="A255" t="s">
        <v>295</v>
      </c>
      <c r="B255" t="s">
        <v>569</v>
      </c>
      <c r="C255">
        <v>916904975</v>
      </c>
      <c r="D255">
        <v>12500000</v>
      </c>
      <c r="E255" s="1">
        <v>2</v>
      </c>
      <c r="F255" s="1">
        <f t="shared" si="9"/>
        <v>25000000</v>
      </c>
      <c r="G255" s="1">
        <f t="shared" si="10"/>
        <v>12</v>
      </c>
      <c r="H255" s="1">
        <f t="shared" si="11"/>
        <v>51</v>
      </c>
      <c r="I255" s="3">
        <v>45646</v>
      </c>
      <c r="J255" t="s">
        <v>13</v>
      </c>
      <c r="K255" t="s">
        <v>16</v>
      </c>
      <c r="L255" t="s">
        <v>25</v>
      </c>
    </row>
    <row r="256" spans="1:12" x14ac:dyDescent="0.25">
      <c r="A256" t="s">
        <v>296</v>
      </c>
      <c r="B256" t="s">
        <v>348</v>
      </c>
      <c r="C256">
        <v>935808537</v>
      </c>
      <c r="D256">
        <v>5290000</v>
      </c>
      <c r="E256" s="1">
        <v>2</v>
      </c>
      <c r="F256" s="1">
        <f t="shared" si="9"/>
        <v>10580000</v>
      </c>
      <c r="G256" s="1">
        <f t="shared" si="10"/>
        <v>12</v>
      </c>
      <c r="H256" s="1">
        <f t="shared" si="11"/>
        <v>49</v>
      </c>
      <c r="I256" s="3">
        <v>45629</v>
      </c>
      <c r="J256" t="s">
        <v>13</v>
      </c>
      <c r="K256" t="s">
        <v>15</v>
      </c>
      <c r="L256" t="s">
        <v>34</v>
      </c>
    </row>
    <row r="257" spans="1:12" x14ac:dyDescent="0.25">
      <c r="A257" t="s">
        <v>297</v>
      </c>
      <c r="B257" t="s">
        <v>570</v>
      </c>
      <c r="C257">
        <v>969849511</v>
      </c>
      <c r="D257">
        <v>15990000</v>
      </c>
      <c r="E257" s="1">
        <v>2</v>
      </c>
      <c r="F257" s="1">
        <f t="shared" si="9"/>
        <v>31980000</v>
      </c>
      <c r="G257" s="1">
        <f t="shared" si="10"/>
        <v>12</v>
      </c>
      <c r="H257" s="1">
        <f t="shared" si="11"/>
        <v>52</v>
      </c>
      <c r="I257" s="3">
        <v>45650</v>
      </c>
      <c r="J257" t="s">
        <v>11</v>
      </c>
      <c r="K257" t="s">
        <v>14</v>
      </c>
      <c r="L257" t="s">
        <v>22</v>
      </c>
    </row>
    <row r="258" spans="1:12" x14ac:dyDescent="0.25">
      <c r="A258" t="s">
        <v>298</v>
      </c>
      <c r="B258" t="s">
        <v>571</v>
      </c>
      <c r="C258">
        <v>923448342</v>
      </c>
      <c r="D258">
        <v>8900000</v>
      </c>
      <c r="E258" s="1">
        <v>2</v>
      </c>
      <c r="F258" s="1">
        <f t="shared" ref="F258:F321" si="12">(E258)*(D258)</f>
        <v>17800000</v>
      </c>
      <c r="G258" s="1">
        <f t="shared" ref="G258:G321" si="13">MONTH(I258)</f>
        <v>12</v>
      </c>
      <c r="H258" s="1">
        <f t="shared" ref="H258:H321" si="14">WEEKNUM(I258)</f>
        <v>50</v>
      </c>
      <c r="I258" s="3">
        <v>45637</v>
      </c>
      <c r="J258" t="s">
        <v>13</v>
      </c>
      <c r="K258" t="s">
        <v>16</v>
      </c>
      <c r="L258" t="s">
        <v>26</v>
      </c>
    </row>
    <row r="259" spans="1:12" x14ac:dyDescent="0.25">
      <c r="A259" t="s">
        <v>299</v>
      </c>
      <c r="B259" t="s">
        <v>572</v>
      </c>
      <c r="C259">
        <v>942002808</v>
      </c>
      <c r="D259">
        <v>8900000</v>
      </c>
      <c r="E259" s="1">
        <v>2</v>
      </c>
      <c r="F259" s="1">
        <f t="shared" si="12"/>
        <v>17800000</v>
      </c>
      <c r="G259" s="1">
        <f t="shared" si="13"/>
        <v>12</v>
      </c>
      <c r="H259" s="1">
        <f t="shared" si="14"/>
        <v>51</v>
      </c>
      <c r="I259" s="3">
        <v>45647</v>
      </c>
      <c r="J259" t="s">
        <v>12</v>
      </c>
      <c r="K259" t="s">
        <v>16</v>
      </c>
      <c r="L259" t="s">
        <v>26</v>
      </c>
    </row>
    <row r="260" spans="1:12" x14ac:dyDescent="0.25">
      <c r="A260" t="s">
        <v>300</v>
      </c>
      <c r="B260" t="s">
        <v>573</v>
      </c>
      <c r="C260">
        <v>916866268</v>
      </c>
      <c r="D260">
        <v>280000</v>
      </c>
      <c r="E260" s="1" t="s">
        <v>9</v>
      </c>
      <c r="F260" s="1">
        <f t="shared" si="12"/>
        <v>840000</v>
      </c>
      <c r="G260" s="1">
        <f t="shared" si="13"/>
        <v>12</v>
      </c>
      <c r="H260" s="1">
        <f t="shared" si="14"/>
        <v>51</v>
      </c>
      <c r="I260" s="3">
        <v>45644</v>
      </c>
      <c r="J260" t="s">
        <v>12</v>
      </c>
      <c r="K260" t="s">
        <v>15</v>
      </c>
      <c r="L260" t="s">
        <v>37</v>
      </c>
    </row>
    <row r="261" spans="1:12" x14ac:dyDescent="0.25">
      <c r="A261" t="s">
        <v>301</v>
      </c>
      <c r="B261" t="s">
        <v>569</v>
      </c>
      <c r="C261">
        <v>965177213</v>
      </c>
      <c r="D261">
        <v>350000</v>
      </c>
      <c r="E261" s="1" t="s">
        <v>8</v>
      </c>
      <c r="F261" s="1">
        <f t="shared" si="12"/>
        <v>350000</v>
      </c>
      <c r="G261" s="1">
        <f t="shared" si="13"/>
        <v>12</v>
      </c>
      <c r="H261" s="1">
        <f t="shared" si="14"/>
        <v>52</v>
      </c>
      <c r="I261" s="3">
        <v>45654</v>
      </c>
      <c r="J261" t="s">
        <v>11</v>
      </c>
      <c r="K261" t="s">
        <v>15</v>
      </c>
      <c r="L261" t="s">
        <v>18</v>
      </c>
    </row>
    <row r="262" spans="1:12" x14ac:dyDescent="0.25">
      <c r="A262" t="s">
        <v>302</v>
      </c>
      <c r="B262" t="s">
        <v>574</v>
      </c>
      <c r="C262">
        <v>919584466</v>
      </c>
      <c r="D262">
        <v>22990000</v>
      </c>
      <c r="E262" s="1">
        <v>2</v>
      </c>
      <c r="F262" s="1">
        <f t="shared" si="12"/>
        <v>45980000</v>
      </c>
      <c r="G262" s="1">
        <f t="shared" si="13"/>
        <v>6</v>
      </c>
      <c r="H262" s="1">
        <f t="shared" si="14"/>
        <v>24</v>
      </c>
      <c r="I262" s="3">
        <v>45455</v>
      </c>
      <c r="J262" t="s">
        <v>11</v>
      </c>
      <c r="K262" t="s">
        <v>14</v>
      </c>
      <c r="L262" t="s">
        <v>41</v>
      </c>
    </row>
    <row r="263" spans="1:12" x14ac:dyDescent="0.25">
      <c r="A263" t="s">
        <v>303</v>
      </c>
      <c r="B263" t="s">
        <v>575</v>
      </c>
      <c r="C263">
        <v>946850196</v>
      </c>
      <c r="D263">
        <v>3990000</v>
      </c>
      <c r="E263" s="1" t="s">
        <v>8</v>
      </c>
      <c r="F263" s="1">
        <f t="shared" si="12"/>
        <v>3990000</v>
      </c>
      <c r="G263" s="1">
        <f t="shared" si="13"/>
        <v>12</v>
      </c>
      <c r="H263" s="1">
        <f t="shared" si="14"/>
        <v>52</v>
      </c>
      <c r="I263" s="3">
        <v>45652</v>
      </c>
      <c r="J263" t="s">
        <v>12</v>
      </c>
      <c r="K263" t="s">
        <v>15</v>
      </c>
      <c r="L263" t="s">
        <v>33</v>
      </c>
    </row>
    <row r="264" spans="1:12" x14ac:dyDescent="0.25">
      <c r="A264" t="s">
        <v>304</v>
      </c>
      <c r="B264" t="s">
        <v>576</v>
      </c>
      <c r="C264">
        <v>926937148</v>
      </c>
      <c r="D264">
        <v>6990000</v>
      </c>
      <c r="E264" s="1">
        <v>2</v>
      </c>
      <c r="F264" s="1">
        <f t="shared" si="12"/>
        <v>13980000</v>
      </c>
      <c r="G264" s="1">
        <f t="shared" si="13"/>
        <v>12</v>
      </c>
      <c r="H264" s="1">
        <f t="shared" si="14"/>
        <v>51</v>
      </c>
      <c r="I264" s="3">
        <v>45646</v>
      </c>
      <c r="J264" t="s">
        <v>11</v>
      </c>
      <c r="K264" t="s">
        <v>14</v>
      </c>
      <c r="L264" t="s">
        <v>35</v>
      </c>
    </row>
    <row r="265" spans="1:12" x14ac:dyDescent="0.25">
      <c r="A265" t="s">
        <v>305</v>
      </c>
      <c r="B265" t="s">
        <v>458</v>
      </c>
      <c r="C265">
        <v>994120751</v>
      </c>
      <c r="D265">
        <v>9990000</v>
      </c>
      <c r="E265" s="1" t="s">
        <v>8</v>
      </c>
      <c r="F265" s="1">
        <f t="shared" si="12"/>
        <v>9990000</v>
      </c>
      <c r="G265" s="1">
        <f t="shared" si="13"/>
        <v>9</v>
      </c>
      <c r="H265" s="1">
        <f t="shared" si="14"/>
        <v>37</v>
      </c>
      <c r="I265" s="3">
        <v>45547</v>
      </c>
      <c r="J265" t="s">
        <v>12</v>
      </c>
      <c r="K265" t="s">
        <v>14</v>
      </c>
      <c r="L265" t="s">
        <v>17</v>
      </c>
    </row>
    <row r="266" spans="1:12" x14ac:dyDescent="0.25">
      <c r="A266" t="s">
        <v>306</v>
      </c>
      <c r="B266" t="s">
        <v>577</v>
      </c>
      <c r="C266">
        <v>961100987</v>
      </c>
      <c r="D266">
        <v>15990000</v>
      </c>
      <c r="E266" s="1">
        <v>2</v>
      </c>
      <c r="F266" s="1">
        <f t="shared" si="12"/>
        <v>31980000</v>
      </c>
      <c r="G266" s="1">
        <f t="shared" si="13"/>
        <v>5</v>
      </c>
      <c r="H266" s="1">
        <f t="shared" si="14"/>
        <v>20</v>
      </c>
      <c r="I266" s="3">
        <v>45424</v>
      </c>
      <c r="J266" t="s">
        <v>13</v>
      </c>
      <c r="K266" t="s">
        <v>14</v>
      </c>
      <c r="L266" t="s">
        <v>22</v>
      </c>
    </row>
    <row r="267" spans="1:12" x14ac:dyDescent="0.25">
      <c r="A267" t="s">
        <v>307</v>
      </c>
      <c r="B267" t="s">
        <v>578</v>
      </c>
      <c r="C267">
        <v>959251188</v>
      </c>
      <c r="D267">
        <v>8990000</v>
      </c>
      <c r="E267" s="1">
        <v>2</v>
      </c>
      <c r="F267" s="1">
        <f t="shared" si="12"/>
        <v>17980000</v>
      </c>
      <c r="G267" s="1">
        <f t="shared" si="13"/>
        <v>12</v>
      </c>
      <c r="H267" s="1">
        <f t="shared" si="14"/>
        <v>50</v>
      </c>
      <c r="I267" s="3">
        <v>45637</v>
      </c>
      <c r="J267" t="s">
        <v>13</v>
      </c>
      <c r="K267" t="s">
        <v>16</v>
      </c>
      <c r="L267" t="s">
        <v>39</v>
      </c>
    </row>
    <row r="268" spans="1:12" x14ac:dyDescent="0.25">
      <c r="A268" t="s">
        <v>308</v>
      </c>
      <c r="B268" t="s">
        <v>579</v>
      </c>
      <c r="C268">
        <v>933842070</v>
      </c>
      <c r="D268">
        <v>8990000</v>
      </c>
      <c r="E268" s="1" t="s">
        <v>6</v>
      </c>
      <c r="F268" s="1">
        <f t="shared" si="12"/>
        <v>17980000</v>
      </c>
      <c r="G268" s="1">
        <f t="shared" si="13"/>
        <v>12</v>
      </c>
      <c r="H268" s="1">
        <f t="shared" si="14"/>
        <v>53</v>
      </c>
      <c r="I268" s="3">
        <v>45657</v>
      </c>
      <c r="J268" t="s">
        <v>12</v>
      </c>
      <c r="K268" t="s">
        <v>16</v>
      </c>
      <c r="L268" t="s">
        <v>39</v>
      </c>
    </row>
    <row r="269" spans="1:12" x14ac:dyDescent="0.25">
      <c r="A269" t="s">
        <v>309</v>
      </c>
      <c r="B269" t="s">
        <v>580</v>
      </c>
      <c r="C269">
        <v>952111160</v>
      </c>
      <c r="D269">
        <v>15990000</v>
      </c>
      <c r="E269" s="1" t="s">
        <v>6</v>
      </c>
      <c r="F269" s="1">
        <f t="shared" si="12"/>
        <v>31980000</v>
      </c>
      <c r="G269" s="1">
        <f t="shared" si="13"/>
        <v>12</v>
      </c>
      <c r="H269" s="1">
        <f t="shared" si="14"/>
        <v>51</v>
      </c>
      <c r="I269" s="3">
        <v>45641</v>
      </c>
      <c r="J269" t="s">
        <v>11</v>
      </c>
      <c r="K269" t="s">
        <v>14</v>
      </c>
      <c r="L269" t="s">
        <v>22</v>
      </c>
    </row>
    <row r="270" spans="1:12" x14ac:dyDescent="0.25">
      <c r="A270" t="s">
        <v>310</v>
      </c>
      <c r="B270" t="s">
        <v>581</v>
      </c>
      <c r="C270">
        <v>911590610</v>
      </c>
      <c r="D270">
        <v>12500000</v>
      </c>
      <c r="E270" s="1" t="s">
        <v>6</v>
      </c>
      <c r="F270" s="1">
        <f t="shared" si="12"/>
        <v>25000000</v>
      </c>
      <c r="G270" s="1">
        <f t="shared" si="13"/>
        <v>12</v>
      </c>
      <c r="H270" s="1">
        <f t="shared" si="14"/>
        <v>51</v>
      </c>
      <c r="I270" s="3">
        <v>45643</v>
      </c>
      <c r="J270" t="s">
        <v>13</v>
      </c>
      <c r="K270" t="s">
        <v>14</v>
      </c>
      <c r="L270" t="s">
        <v>36</v>
      </c>
    </row>
    <row r="271" spans="1:12" x14ac:dyDescent="0.25">
      <c r="A271" t="s">
        <v>311</v>
      </c>
      <c r="B271" t="s">
        <v>582</v>
      </c>
      <c r="C271">
        <v>911656329</v>
      </c>
      <c r="D271">
        <v>12500000</v>
      </c>
      <c r="E271" s="1" t="s">
        <v>8</v>
      </c>
      <c r="F271" s="1">
        <f t="shared" si="12"/>
        <v>12500000</v>
      </c>
      <c r="G271" s="1">
        <f t="shared" si="13"/>
        <v>12</v>
      </c>
      <c r="H271" s="1">
        <f t="shared" si="14"/>
        <v>50</v>
      </c>
      <c r="I271" s="3">
        <v>45640</v>
      </c>
      <c r="J271" t="s">
        <v>13</v>
      </c>
      <c r="K271" t="s">
        <v>16</v>
      </c>
      <c r="L271" t="s">
        <v>25</v>
      </c>
    </row>
    <row r="272" spans="1:12" x14ac:dyDescent="0.25">
      <c r="A272" t="s">
        <v>312</v>
      </c>
      <c r="B272" t="s">
        <v>583</v>
      </c>
      <c r="C272">
        <v>947543473</v>
      </c>
      <c r="D272">
        <v>80000</v>
      </c>
      <c r="E272" s="1">
        <v>1</v>
      </c>
      <c r="F272" s="1">
        <f t="shared" si="12"/>
        <v>80000</v>
      </c>
      <c r="G272" s="1">
        <f t="shared" si="13"/>
        <v>12</v>
      </c>
      <c r="H272" s="1">
        <f t="shared" si="14"/>
        <v>52</v>
      </c>
      <c r="I272" s="3">
        <v>45648</v>
      </c>
      <c r="J272" t="s">
        <v>12</v>
      </c>
      <c r="K272" t="s">
        <v>15</v>
      </c>
      <c r="L272" t="s">
        <v>21</v>
      </c>
    </row>
    <row r="273" spans="1:12" x14ac:dyDescent="0.25">
      <c r="A273" t="s">
        <v>313</v>
      </c>
      <c r="B273" t="s">
        <v>584</v>
      </c>
      <c r="C273">
        <v>984605013</v>
      </c>
      <c r="D273">
        <v>150000</v>
      </c>
      <c r="E273" s="1" t="s">
        <v>7</v>
      </c>
      <c r="F273" s="1">
        <f t="shared" si="12"/>
        <v>600000</v>
      </c>
      <c r="G273" s="1">
        <f t="shared" si="13"/>
        <v>2</v>
      </c>
      <c r="H273" s="1">
        <f t="shared" si="14"/>
        <v>7</v>
      </c>
      <c r="I273" s="3">
        <v>45334</v>
      </c>
      <c r="J273" t="s">
        <v>12</v>
      </c>
      <c r="K273" t="s">
        <v>15</v>
      </c>
      <c r="L273" t="s">
        <v>32</v>
      </c>
    </row>
    <row r="274" spans="1:12" x14ac:dyDescent="0.25">
      <c r="A274" t="s">
        <v>314</v>
      </c>
      <c r="B274" t="s">
        <v>585</v>
      </c>
      <c r="C274">
        <v>997735896</v>
      </c>
      <c r="D274">
        <v>9990000</v>
      </c>
      <c r="E274" s="1" t="s">
        <v>8</v>
      </c>
      <c r="F274" s="1">
        <f t="shared" si="12"/>
        <v>9990000</v>
      </c>
      <c r="G274" s="1">
        <f t="shared" si="13"/>
        <v>12</v>
      </c>
      <c r="H274" s="1">
        <f t="shared" si="14"/>
        <v>52</v>
      </c>
      <c r="I274" s="3">
        <v>45649</v>
      </c>
      <c r="J274" t="s">
        <v>12</v>
      </c>
      <c r="K274" t="s">
        <v>16</v>
      </c>
      <c r="L274" t="s">
        <v>30</v>
      </c>
    </row>
    <row r="275" spans="1:12" x14ac:dyDescent="0.25">
      <c r="A275" t="s">
        <v>315</v>
      </c>
      <c r="B275" t="s">
        <v>586</v>
      </c>
      <c r="C275">
        <v>936347197</v>
      </c>
      <c r="D275">
        <v>3990000</v>
      </c>
      <c r="E275" s="1">
        <v>3</v>
      </c>
      <c r="F275" s="1">
        <f t="shared" si="12"/>
        <v>11970000</v>
      </c>
      <c r="G275" s="1">
        <f t="shared" si="13"/>
        <v>12</v>
      </c>
      <c r="H275" s="1">
        <f t="shared" si="14"/>
        <v>53</v>
      </c>
      <c r="I275" s="3">
        <v>45657</v>
      </c>
      <c r="J275" t="s">
        <v>11</v>
      </c>
      <c r="K275" t="s">
        <v>15</v>
      </c>
      <c r="L275" t="s">
        <v>33</v>
      </c>
    </row>
    <row r="276" spans="1:12" x14ac:dyDescent="0.25">
      <c r="A276" t="s">
        <v>316</v>
      </c>
      <c r="B276" t="s">
        <v>587</v>
      </c>
      <c r="C276">
        <v>952552488</v>
      </c>
      <c r="D276">
        <v>150000</v>
      </c>
      <c r="E276" s="1">
        <v>3</v>
      </c>
      <c r="F276" s="1">
        <f t="shared" si="12"/>
        <v>450000</v>
      </c>
      <c r="G276" s="1">
        <f t="shared" si="13"/>
        <v>12</v>
      </c>
      <c r="H276" s="1">
        <f t="shared" si="14"/>
        <v>50</v>
      </c>
      <c r="I276" s="3">
        <v>45638</v>
      </c>
      <c r="J276" t="s">
        <v>11</v>
      </c>
      <c r="K276" t="s">
        <v>15</v>
      </c>
      <c r="L276" t="s">
        <v>32</v>
      </c>
    </row>
    <row r="277" spans="1:12" x14ac:dyDescent="0.25">
      <c r="A277" t="s">
        <v>317</v>
      </c>
      <c r="B277" t="s">
        <v>588</v>
      </c>
      <c r="C277">
        <v>987049595</v>
      </c>
      <c r="D277">
        <v>12500000</v>
      </c>
      <c r="E277" s="1">
        <v>2</v>
      </c>
      <c r="F277" s="1">
        <f t="shared" si="12"/>
        <v>25000000</v>
      </c>
      <c r="G277" s="1">
        <f t="shared" si="13"/>
        <v>12</v>
      </c>
      <c r="H277" s="1">
        <f t="shared" si="14"/>
        <v>51</v>
      </c>
      <c r="I277" s="3">
        <v>45642</v>
      </c>
      <c r="J277" t="s">
        <v>13</v>
      </c>
      <c r="K277" t="s">
        <v>16</v>
      </c>
      <c r="L277" t="s">
        <v>25</v>
      </c>
    </row>
    <row r="278" spans="1:12" x14ac:dyDescent="0.25">
      <c r="A278" t="s">
        <v>318</v>
      </c>
      <c r="B278" t="s">
        <v>589</v>
      </c>
      <c r="C278">
        <v>940667888</v>
      </c>
      <c r="D278">
        <v>8900000</v>
      </c>
      <c r="E278" s="1">
        <v>2</v>
      </c>
      <c r="F278" s="1">
        <f t="shared" si="12"/>
        <v>17800000</v>
      </c>
      <c r="G278" s="1">
        <f t="shared" si="13"/>
        <v>11</v>
      </c>
      <c r="H278" s="1">
        <f t="shared" si="14"/>
        <v>46</v>
      </c>
      <c r="I278" s="3">
        <v>45608</v>
      </c>
      <c r="J278" t="s">
        <v>12</v>
      </c>
      <c r="K278" t="s">
        <v>16</v>
      </c>
      <c r="L278" t="s">
        <v>26</v>
      </c>
    </row>
    <row r="279" spans="1:12" x14ac:dyDescent="0.25">
      <c r="A279" t="s">
        <v>319</v>
      </c>
      <c r="B279" t="s">
        <v>590</v>
      </c>
      <c r="C279">
        <v>911994519</v>
      </c>
      <c r="D279">
        <v>9990000</v>
      </c>
      <c r="E279" s="1">
        <v>2</v>
      </c>
      <c r="F279" s="1">
        <f t="shared" si="12"/>
        <v>19980000</v>
      </c>
      <c r="G279" s="1">
        <f t="shared" si="13"/>
        <v>12</v>
      </c>
      <c r="H279" s="1">
        <f t="shared" si="14"/>
        <v>52</v>
      </c>
      <c r="I279" s="3">
        <v>45652</v>
      </c>
      <c r="J279" t="s">
        <v>13</v>
      </c>
      <c r="K279" t="s">
        <v>16</v>
      </c>
      <c r="L279" t="s">
        <v>30</v>
      </c>
    </row>
    <row r="280" spans="1:12" x14ac:dyDescent="0.25">
      <c r="A280" t="s">
        <v>320</v>
      </c>
      <c r="B280" t="s">
        <v>591</v>
      </c>
      <c r="C280">
        <v>918846539</v>
      </c>
      <c r="D280">
        <v>18490000</v>
      </c>
      <c r="E280" s="1">
        <v>2</v>
      </c>
      <c r="F280" s="1">
        <f t="shared" si="12"/>
        <v>36980000</v>
      </c>
      <c r="G280" s="1">
        <f t="shared" si="13"/>
        <v>12</v>
      </c>
      <c r="H280" s="1">
        <f t="shared" si="14"/>
        <v>49</v>
      </c>
      <c r="I280" s="3">
        <v>45630</v>
      </c>
      <c r="J280" t="s">
        <v>11</v>
      </c>
      <c r="K280" t="s">
        <v>16</v>
      </c>
      <c r="L280" t="s">
        <v>24</v>
      </c>
    </row>
    <row r="281" spans="1:12" x14ac:dyDescent="0.25">
      <c r="A281" t="s">
        <v>321</v>
      </c>
      <c r="B281" t="s">
        <v>592</v>
      </c>
      <c r="C281">
        <v>957623800</v>
      </c>
      <c r="D281">
        <v>6990000</v>
      </c>
      <c r="E281" s="1" t="s">
        <v>6</v>
      </c>
      <c r="F281" s="1">
        <f t="shared" si="12"/>
        <v>13980000</v>
      </c>
      <c r="G281" s="1">
        <f t="shared" si="13"/>
        <v>11</v>
      </c>
      <c r="H281" s="1">
        <f t="shared" si="14"/>
        <v>46</v>
      </c>
      <c r="I281" s="3">
        <v>45608</v>
      </c>
      <c r="J281" t="s">
        <v>13</v>
      </c>
      <c r="K281" t="s">
        <v>14</v>
      </c>
      <c r="L281" t="s">
        <v>35</v>
      </c>
    </row>
    <row r="282" spans="1:12" x14ac:dyDescent="0.25">
      <c r="E282"/>
      <c r="F282"/>
      <c r="G282"/>
      <c r="H282"/>
      <c r="I282"/>
    </row>
    <row r="283" spans="1:12" x14ac:dyDescent="0.25">
      <c r="E283"/>
      <c r="F283"/>
      <c r="G283"/>
      <c r="H283"/>
      <c r="I283"/>
    </row>
    <row r="284" spans="1:12" x14ac:dyDescent="0.25">
      <c r="E284"/>
      <c r="F284"/>
      <c r="G284"/>
      <c r="H284"/>
      <c r="I284"/>
    </row>
    <row r="285" spans="1:12" x14ac:dyDescent="0.25">
      <c r="E285"/>
      <c r="F285"/>
      <c r="G285"/>
      <c r="H285"/>
      <c r="I285"/>
    </row>
    <row r="286" spans="1:12" x14ac:dyDescent="0.25">
      <c r="E286"/>
      <c r="F286"/>
      <c r="G286"/>
      <c r="H286"/>
      <c r="I286"/>
    </row>
    <row r="287" spans="1:12" x14ac:dyDescent="0.25">
      <c r="E287"/>
      <c r="F287"/>
      <c r="G287"/>
      <c r="H287"/>
      <c r="I287"/>
    </row>
    <row r="288" spans="1:12" x14ac:dyDescent="0.25">
      <c r="E288"/>
      <c r="F288"/>
      <c r="G288"/>
      <c r="H288"/>
      <c r="I288"/>
    </row>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7B06D-18C2-478D-AF38-DAA27DA45559}">
  <dimension ref="A1:P12"/>
  <sheetViews>
    <sheetView showGridLines="0" tabSelected="1" topLeftCell="A4" workbookViewId="0">
      <selection activeCell="N11" sqref="N11"/>
    </sheetView>
  </sheetViews>
  <sheetFormatPr defaultRowHeight="15" x14ac:dyDescent="0.25"/>
  <cols>
    <col min="1" max="16384" width="9.140625" style="9"/>
  </cols>
  <sheetData>
    <row r="1" spans="1:16" ht="15" customHeight="1" x14ac:dyDescent="0.25">
      <c r="A1" s="22" t="s">
        <v>606</v>
      </c>
      <c r="B1" s="22"/>
      <c r="C1" s="22"/>
      <c r="D1" s="22"/>
      <c r="E1" s="22"/>
      <c r="F1" s="22"/>
      <c r="G1" s="22"/>
      <c r="H1" s="22"/>
      <c r="I1" s="22"/>
      <c r="J1" s="22"/>
      <c r="K1" s="22"/>
      <c r="L1" s="22"/>
      <c r="M1" s="11"/>
      <c r="N1" s="11"/>
      <c r="O1" s="11"/>
      <c r="P1" s="11"/>
    </row>
    <row r="2" spans="1:16" ht="15" customHeight="1" x14ac:dyDescent="0.25">
      <c r="A2" s="22"/>
      <c r="B2" s="22"/>
      <c r="C2" s="22"/>
      <c r="D2" s="22"/>
      <c r="E2" s="22"/>
      <c r="F2" s="22"/>
      <c r="G2" s="22"/>
      <c r="H2" s="22"/>
      <c r="I2" s="22"/>
      <c r="J2" s="22"/>
      <c r="K2" s="22"/>
      <c r="L2" s="22"/>
      <c r="M2" s="11"/>
      <c r="N2" s="11"/>
      <c r="O2" s="11"/>
      <c r="P2" s="11"/>
    </row>
    <row r="3" spans="1:16" ht="15" customHeight="1" x14ac:dyDescent="0.25">
      <c r="A3" s="23"/>
      <c r="B3" s="23"/>
      <c r="C3" s="23"/>
      <c r="D3" s="23"/>
      <c r="E3" s="23"/>
      <c r="F3" s="23"/>
      <c r="G3" s="23"/>
      <c r="H3" s="23"/>
      <c r="I3" s="23"/>
      <c r="J3" s="23"/>
      <c r="K3" s="23"/>
      <c r="L3" s="23"/>
      <c r="M3" s="11"/>
      <c r="N3" s="11"/>
      <c r="O3" s="11"/>
      <c r="P3" s="11"/>
    </row>
    <row r="4" spans="1:16" x14ac:dyDescent="0.25">
      <c r="A4" s="10" t="s">
        <v>607</v>
      </c>
      <c r="B4" s="10"/>
      <c r="C4" s="10"/>
      <c r="D4" s="10" t="s">
        <v>608</v>
      </c>
      <c r="E4" s="10"/>
      <c r="F4" s="10"/>
      <c r="G4" s="10" t="s">
        <v>609</v>
      </c>
      <c r="H4" s="10"/>
      <c r="I4" s="10"/>
      <c r="J4" s="10" t="s">
        <v>610</v>
      </c>
      <c r="K4" s="10"/>
      <c r="L4" s="10"/>
    </row>
    <row r="5" spans="1:16" x14ac:dyDescent="0.25">
      <c r="A5" s="10"/>
      <c r="B5" s="10"/>
      <c r="C5" s="10"/>
      <c r="D5" s="10"/>
      <c r="E5" s="10"/>
      <c r="F5" s="10"/>
      <c r="G5" s="10"/>
      <c r="H5" s="10"/>
      <c r="I5" s="10"/>
      <c r="J5" s="10"/>
      <c r="K5" s="10"/>
      <c r="L5" s="10"/>
    </row>
    <row r="6" spans="1:16" x14ac:dyDescent="0.25">
      <c r="A6" s="10"/>
      <c r="B6" s="10"/>
      <c r="C6" s="10"/>
      <c r="D6" s="10"/>
      <c r="E6" s="10"/>
      <c r="F6" s="10"/>
      <c r="G6" s="10"/>
      <c r="H6" s="10"/>
      <c r="I6" s="10"/>
      <c r="J6" s="10"/>
      <c r="K6" s="10"/>
      <c r="L6" s="10"/>
    </row>
    <row r="7" spans="1:16" x14ac:dyDescent="0.25">
      <c r="A7" s="10"/>
      <c r="B7" s="10"/>
      <c r="C7" s="10"/>
      <c r="D7" s="10"/>
      <c r="E7" s="10"/>
      <c r="F7" s="10"/>
      <c r="G7" s="10"/>
      <c r="H7" s="10"/>
      <c r="I7" s="10"/>
      <c r="J7" s="10"/>
      <c r="K7" s="10"/>
      <c r="L7" s="10"/>
    </row>
    <row r="8" spans="1:16" x14ac:dyDescent="0.25">
      <c r="A8" s="10"/>
      <c r="B8" s="10"/>
      <c r="C8" s="10"/>
      <c r="D8" s="10"/>
      <c r="E8" s="10"/>
      <c r="F8" s="10"/>
      <c r="G8" s="10"/>
      <c r="H8" s="10"/>
      <c r="I8" s="10"/>
      <c r="J8" s="10"/>
      <c r="K8" s="10"/>
      <c r="L8" s="10"/>
    </row>
    <row r="9" spans="1:16" x14ac:dyDescent="0.25">
      <c r="A9" s="12">
        <v>4291660000</v>
      </c>
      <c r="B9" s="12"/>
      <c r="C9" s="12"/>
      <c r="D9" s="13">
        <v>280</v>
      </c>
      <c r="E9" s="14"/>
      <c r="F9" s="15"/>
      <c r="G9" s="12">
        <v>15327357.142857144</v>
      </c>
      <c r="H9" s="12"/>
      <c r="I9" s="12"/>
      <c r="J9" s="12" t="s">
        <v>611</v>
      </c>
      <c r="K9" s="12"/>
      <c r="L9" s="12"/>
    </row>
    <row r="10" spans="1:16" x14ac:dyDescent="0.25">
      <c r="A10" s="12"/>
      <c r="B10" s="12"/>
      <c r="C10" s="12"/>
      <c r="D10" s="16"/>
      <c r="E10" s="17"/>
      <c r="F10" s="18"/>
      <c r="G10" s="12"/>
      <c r="H10" s="12"/>
      <c r="I10" s="12"/>
      <c r="J10" s="12"/>
      <c r="K10" s="12"/>
      <c r="L10" s="12"/>
    </row>
    <row r="11" spans="1:16" x14ac:dyDescent="0.25">
      <c r="A11" s="12"/>
      <c r="B11" s="12"/>
      <c r="C11" s="12"/>
      <c r="D11" s="16"/>
      <c r="E11" s="17"/>
      <c r="F11" s="18"/>
      <c r="G11" s="12"/>
      <c r="H11" s="12"/>
      <c r="I11" s="12"/>
      <c r="J11" s="12"/>
      <c r="K11" s="12"/>
      <c r="L11" s="12"/>
    </row>
    <row r="12" spans="1:16" x14ac:dyDescent="0.25">
      <c r="A12" s="12"/>
      <c r="B12" s="12"/>
      <c r="C12" s="12"/>
      <c r="D12" s="19"/>
      <c r="E12" s="20"/>
      <c r="F12" s="21"/>
      <c r="G12" s="12"/>
      <c r="H12" s="12"/>
      <c r="I12" s="12"/>
      <c r="J12" s="12"/>
      <c r="K12" s="12"/>
      <c r="L12" s="12"/>
    </row>
  </sheetData>
  <mergeCells count="9">
    <mergeCell ref="A9:C12"/>
    <mergeCell ref="D9:F12"/>
    <mergeCell ref="G9:I12"/>
    <mergeCell ref="J9:L12"/>
    <mergeCell ref="A1:L3"/>
    <mergeCell ref="A4:C8"/>
    <mergeCell ref="D4:F8"/>
    <mergeCell ref="G4:I8"/>
    <mergeCell ref="J4: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cp:lastModifiedBy>
  <dcterms:created xsi:type="dcterms:W3CDTF">2026-01-27T01:46:43Z</dcterms:created>
  <dcterms:modified xsi:type="dcterms:W3CDTF">2026-01-28T02:48:43Z</dcterms:modified>
</cp:coreProperties>
</file>