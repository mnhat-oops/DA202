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I\Downloads\"/>
    </mc:Choice>
  </mc:AlternateContent>
  <xr:revisionPtr revIDLastSave="0" documentId="13_ncr:1_{9F669DDE-2649-4E2C-9C68-28117B01E5EC}" xr6:coauthVersionLast="47" xr6:coauthVersionMax="47" xr10:uidLastSave="{00000000-0000-0000-0000-000000000000}"/>
  <bookViews>
    <workbookView xWindow="-120" yWindow="-120" windowWidth="20730" windowHeight="11040" xr2:uid="{00000000-000D-0000-FFFF-FFFF00000000}"/>
  </bookViews>
  <sheets>
    <sheet name="Sheet3" sheetId="3" r:id="rId1"/>
    <sheet name="Sheet2" sheetId="2" r:id="rId2"/>
    <sheet name="Sheet1" sheetId="1" r:id="rId3"/>
  </sheets>
  <definedNames>
    <definedName name="_xlnm._FilterDatabase" localSheetId="2" hidden="1">Sheet1!$A$1:$L$236</definedName>
    <definedName name="NativeTimeline_Ngày_GD">#N/A</definedName>
    <definedName name="Slicer_Ngày_GD">#N/A</definedName>
    <definedName name="Slicer_Tài_Khoản">#N/A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uri="GoogleSheetsCustomDataVersion2">
      <go:sheetsCustomData xmlns:go="http://customooxmlschemas.google.com/" r:id="rId8" roundtripDataChecksum="FtgvDnItCEFxw0gXV5ojmDnu5cTcfAN/sfqlYPWxM04="/>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alcChain>
</file>

<file path=xl/sharedStrings.xml><?xml version="1.0" encoding="utf-8"?>
<sst xmlns="http://schemas.openxmlformats.org/spreadsheetml/2006/main" count="1225" uniqueCount="448">
  <si>
    <t>STT</t>
  </si>
  <si>
    <t>Số_Tiền</t>
  </si>
  <si>
    <t>Ngày_GD</t>
  </si>
  <si>
    <t>Tài_Khoản</t>
  </si>
  <si>
    <t>Trạng_Thái</t>
  </si>
  <si>
    <t>Ghi_Chú</t>
  </si>
  <si>
    <t>VCB</t>
  </si>
  <si>
    <t>Hoàn thành</t>
  </si>
  <si>
    <t>Thanh toán định kỳ</t>
  </si>
  <si>
    <t>Ví MoMo</t>
  </si>
  <si>
    <t>Thưởng công ty</t>
  </si>
  <si>
    <t>Tiền mặt</t>
  </si>
  <si>
    <t>Ăn một mình</t>
  </si>
  <si>
    <t>Techcombank</t>
  </si>
  <si>
    <t>Thu nhập chính</t>
  </si>
  <si>
    <t>Highlands Coffee</t>
  </si>
  <si>
    <t>Đầy bình</t>
  </si>
  <si>
    <t>Hóa đơn tháng 12</t>
  </si>
  <si>
    <t>Sinh nhật mẹ</t>
  </si>
  <si>
    <t>Thực phẩm tuần</t>
  </si>
  <si>
    <t>Dự án web</t>
  </si>
  <si>
    <t>Tiệm quen</t>
  </si>
  <si>
    <t>Cước tháng</t>
  </si>
  <si>
    <t>Liên hoan nhóm</t>
  </si>
  <si>
    <t>Gửi 6 tháng</t>
  </si>
  <si>
    <t>Đi tiệc</t>
  </si>
  <si>
    <t>Sách kỹ năng</t>
  </si>
  <si>
    <t>Cảm cúm</t>
  </si>
  <si>
    <t>Lỗi đơn hàng</t>
  </si>
  <si>
    <t>Gói cao cấp</t>
  </si>
  <si>
    <t>Thay nhớt</t>
  </si>
  <si>
    <t>Họ hàng cho</t>
  </si>
  <si>
    <t>Đồ mới</t>
  </si>
  <si>
    <t>Khứ hồi</t>
  </si>
  <si>
    <t>Phúc Long</t>
  </si>
  <si>
    <t>Trà đá</t>
  </si>
  <si>
    <t>Ra Nội Bài</t>
  </si>
  <si>
    <t>Lương chính thức</t>
  </si>
  <si>
    <t>Mùng 1 Tết</t>
  </si>
  <si>
    <t>Mùng 2 Tết</t>
  </si>
  <si>
    <t>Họ hàng</t>
  </si>
  <si>
    <t>Tổng kết Tết</t>
  </si>
  <si>
    <t>Công đức</t>
  </si>
  <si>
    <t>Đồng nghiệp</t>
  </si>
  <si>
    <t>Đi làm</t>
  </si>
  <si>
    <t>Bán bảo hiểm</t>
  </si>
  <si>
    <t>Lười nấu</t>
  </si>
  <si>
    <t>California Fitness</t>
  </si>
  <si>
    <t>Cho thuê</t>
  </si>
  <si>
    <t>Thuê thợ</t>
  </si>
  <si>
    <t>Trang sức</t>
  </si>
  <si>
    <t>Valentine</t>
  </si>
  <si>
    <t>Dự án Q4</t>
  </si>
  <si>
    <t>Cho bé</t>
  </si>
  <si>
    <t>Viettel</t>
  </si>
  <si>
    <t>Chăn bông</t>
  </si>
  <si>
    <t>Chốt lời</t>
  </si>
  <si>
    <t>Chia bill</t>
  </si>
  <si>
    <t>Dùng cho công việc</t>
  </si>
  <si>
    <t>Khách hàng thanh toán</t>
  </si>
  <si>
    <t>Sửa lỗi chính tả trạng thái</t>
  </si>
  <si>
    <t>Mã VPB</t>
  </si>
  <si>
    <t>Gặp bạn cũ</t>
  </si>
  <si>
    <t>Đồ gia dụng</t>
  </si>
  <si>
    <t>Hóa đơn tháng 2</t>
  </si>
  <si>
    <t>Cuốc xe bị huỷ</t>
  </si>
  <si>
    <t>Trung tâm ILA</t>
  </si>
  <si>
    <t>Liên hoan gia đình</t>
  </si>
  <si>
    <t>Lương cứng</t>
  </si>
  <si>
    <t>Vitamin C + khẩu trang</t>
  </si>
  <si>
    <t>Xăng tăng giá</t>
  </si>
  <si>
    <t>Sony A6000</t>
  </si>
  <si>
    <t>CGV Cinema</t>
  </si>
  <si>
    <t>Gong Cha</t>
  </si>
  <si>
    <t>Lotte Mart</t>
  </si>
  <si>
    <t>Hoàn thành dự án sớm</t>
  </si>
  <si>
    <t>Thay SSD</t>
  </si>
  <si>
    <t>Tiệc Adora</t>
  </si>
  <si>
    <t>Thịt bò + rau</t>
  </si>
  <si>
    <t>Chung cư</t>
  </si>
  <si>
    <t>Gói cá nhân</t>
  </si>
  <si>
    <t>Kichi Kichi</t>
  </si>
  <si>
    <t>10 bài blog</t>
  </si>
  <si>
    <t>Nike Pegasus</t>
  </si>
  <si>
    <t>Lấy cao răng</t>
  </si>
  <si>
    <t>The Coffee House</t>
  </si>
  <si>
    <t>Gửi góp</t>
  </si>
  <si>
    <t>Đóng tại nhà</t>
  </si>
  <si>
    <t>Kem chống nắng</t>
  </si>
  <si>
    <t>Đi làm trễ</t>
  </si>
  <si>
    <t>Quyết toán 2025</t>
  </si>
  <si>
    <t>Lẩu dê</t>
  </si>
  <si>
    <t>Lương đúng hạn</t>
  </si>
  <si>
    <t>KS + vé</t>
  </si>
  <si>
    <t>Chợ đêm</t>
  </si>
  <si>
    <t>Trong áo cũ</t>
  </si>
  <si>
    <t>Sầu riêng</t>
  </si>
  <si>
    <t>Lego</t>
  </si>
  <si>
    <t>1 chỉ vàng</t>
  </si>
  <si>
    <t>Bơm gas</t>
  </si>
  <si>
    <t>Trừ tự động</t>
  </si>
  <si>
    <t>Uniqlo</t>
  </si>
  <si>
    <t>Kèo đầu năm</t>
  </si>
  <si>
    <t>Khao cả nhà</t>
  </si>
  <si>
    <t>Đóng tại trạm</t>
  </si>
  <si>
    <t>Nhận CK</t>
  </si>
  <si>
    <t>Mùa nóng</t>
  </si>
  <si>
    <t>Bánh mì + bạc xỉu</t>
  </si>
  <si>
    <t>Lỗi phí</t>
  </si>
  <si>
    <t>Toán + Văn</t>
  </si>
  <si>
    <t>Tranh treo</t>
  </si>
  <si>
    <t>Dùng điều hòa</t>
  </si>
  <si>
    <t>Tài liệu kỹ thuật</t>
  </si>
  <si>
    <t>Thay lõi</t>
  </si>
  <si>
    <t>Co.op Mart</t>
  </si>
  <si>
    <t>1 tháng</t>
  </si>
  <si>
    <t>Lining</t>
  </si>
  <si>
    <t>Grab Car</t>
  </si>
  <si>
    <t>Liên hoan</t>
  </si>
  <si>
    <t>Loa BT</t>
  </si>
  <si>
    <t>KS + ăn uống</t>
  </si>
  <si>
    <t>Đi lại</t>
  </si>
  <si>
    <t>Lương chính</t>
  </si>
  <si>
    <t>Xoài + mít</t>
  </si>
  <si>
    <t>Logo startup</t>
  </si>
  <si>
    <t>Thay dầu</t>
  </si>
  <si>
    <t>Lẩu bò</t>
  </si>
  <si>
    <t>Philips</t>
  </si>
  <si>
    <t>Hàng lỗi</t>
  </si>
  <si>
    <t>Xe máy</t>
  </si>
  <si>
    <t>Skincare</t>
  </si>
  <si>
    <t>Nợ cũ</t>
  </si>
  <si>
    <t>Gia hạn</t>
  </si>
  <si>
    <t>Starbucks</t>
  </si>
  <si>
    <t>Cát</t>
  </si>
  <si>
    <t>Giấy + chai</t>
  </si>
  <si>
    <t>Dầu cá</t>
  </si>
  <si>
    <t>Khóa kẹt</t>
  </si>
  <si>
    <t>Dự án 2 tuần</t>
  </si>
  <si>
    <t>Góp quỹ</t>
  </si>
  <si>
    <t>Em gái</t>
  </si>
  <si>
    <t>CP FPT</t>
  </si>
  <si>
    <t>Dự trữ</t>
  </si>
  <si>
    <t>Giải trí</t>
  </si>
  <si>
    <t>Bạn về nước</t>
  </si>
  <si>
    <t>Sinh Từ</t>
  </si>
  <si>
    <t>Lương sớm</t>
  </si>
  <si>
    <t>Phục vụ thiết kế</t>
  </si>
  <si>
    <t>Phụ kiện iPad</t>
  </si>
  <si>
    <t>Thanh lý Facebook</t>
  </si>
  <si>
    <t>Họp freelance</t>
  </si>
  <si>
    <t>Xăng tăng</t>
  </si>
  <si>
    <t>Khao bạn</t>
  </si>
  <si>
    <t>TNCN bổ sung</t>
  </si>
  <si>
    <t>Sách tài chính</t>
  </si>
  <si>
    <t>Hóa đơn hè</t>
  </si>
  <si>
    <t>Lãi tháng</t>
  </si>
  <si>
    <t>Elite Fitness</t>
  </si>
  <si>
    <t>Sumo BBQ</t>
  </si>
  <si>
    <t>Trời mưa</t>
  </si>
  <si>
    <t>UI/UX</t>
  </si>
  <si>
    <t>Tự thưởng</t>
  </si>
  <si>
    <t>Vệ sinh</t>
  </si>
  <si>
    <t>Gia dụng</t>
  </si>
  <si>
    <t>Thưởng Q2</t>
  </si>
  <si>
    <t>IMAX</t>
  </si>
  <si>
    <t>Phố cổ</t>
  </si>
  <si>
    <t>Du lịch</t>
  </si>
  <si>
    <t>Chốt lời HPG</t>
  </si>
  <si>
    <t>Thân vỏ</t>
  </si>
  <si>
    <t>Làm việc</t>
  </si>
  <si>
    <t>Bạn ĐH</t>
  </si>
  <si>
    <t>5 bài PR</t>
  </si>
  <si>
    <t>Bảo dưỡng</t>
  </si>
  <si>
    <t>Dịch vụ</t>
  </si>
  <si>
    <t>Bạn trả</t>
  </si>
  <si>
    <t>Samsonite</t>
  </si>
  <si>
    <t>Lý QS</t>
  </si>
  <si>
    <t>FPT</t>
  </si>
  <si>
    <t>Long Châu</t>
  </si>
  <si>
    <t>Logo mới</t>
  </si>
  <si>
    <t>Thực phẩm</t>
  </si>
  <si>
    <t>Haidilao</t>
  </si>
  <si>
    <t>Online</t>
  </si>
  <si>
    <t>SN sếp</t>
  </si>
  <si>
    <t>TCH</t>
  </si>
  <si>
    <t>Deadline</t>
  </si>
  <si>
    <t>Adidas</t>
  </si>
  <si>
    <t>Quán quen</t>
  </si>
  <si>
    <t>Đổi tủ</t>
  </si>
  <si>
    <t>Gói Liberty</t>
  </si>
  <si>
    <t>Vượt chỉ tiêu</t>
  </si>
  <si>
    <t>Họp team</t>
  </si>
  <si>
    <t>Sửa lỗi chính tả</t>
  </si>
  <si>
    <t>Hủy chuyến</t>
  </si>
  <si>
    <t>Định kỳ</t>
  </si>
  <si>
    <t>Cao điểm</t>
  </si>
  <si>
    <t>Chợ Tốt</t>
  </si>
  <si>
    <t>Trái cây</t>
  </si>
  <si>
    <t>Tiếp KH</t>
  </si>
  <si>
    <t>Trước hạn</t>
  </si>
  <si>
    <t>Ron 95</t>
  </si>
  <si>
    <t>Cuối tuần</t>
  </si>
  <si>
    <t>CP VNM</t>
  </si>
  <si>
    <t>Kỳ mới</t>
  </si>
  <si>
    <t>Gogi</t>
  </si>
  <si>
    <t>Mobi</t>
  </si>
  <si>
    <t>Tự động</t>
  </si>
  <si>
    <t>Logo cafe</t>
  </si>
  <si>
    <t>Xe hỏng</t>
  </si>
  <si>
    <t>Kỳ 2025</t>
  </si>
  <si>
    <t>Vitamin</t>
  </si>
  <si>
    <t>Quán</t>
  </si>
  <si>
    <t>Fanpage</t>
  </si>
  <si>
    <t>Hàng tháng</t>
  </si>
  <si>
    <t>Xếp hình</t>
  </si>
  <si>
    <t>Đúng hạn</t>
  </si>
  <si>
    <t>Phú Quốc</t>
  </si>
  <si>
    <t>Chuyến sớm</t>
  </si>
  <si>
    <t>Quốc khánh</t>
  </si>
  <si>
    <t>3N2Đ</t>
  </si>
  <si>
    <t>Ven biển</t>
  </si>
  <si>
    <t>Thuê đồ</t>
  </si>
  <si>
    <t>Đặc sản</t>
  </si>
  <si>
    <t xml:space="preserve"> Thưởng Tết dương lịch</t>
  </si>
  <si>
    <t xml:space="preserve"> Lương tháng 12</t>
  </si>
  <si>
    <t xml:space="preserve"> Cafe với bạn</t>
  </si>
  <si>
    <t xml:space="preserve"> Đổ xăng xe</t>
  </si>
  <si>
    <t xml:space="preserve"> Đóng tiền điện</t>
  </si>
  <si>
    <t xml:space="preserve"> Mua quà tặng</t>
  </si>
  <si>
    <t xml:space="preserve"> Freelance Project</t>
  </si>
  <si>
    <t xml:space="preserve"> Cắt tóc</t>
  </si>
  <si>
    <t xml:space="preserve"> Buffet tối</t>
  </si>
  <si>
    <t xml:space="preserve"> Tiền lãi tiết kiệm</t>
  </si>
  <si>
    <t xml:space="preserve"> Grab Car</t>
  </si>
  <si>
    <t xml:space="preserve"> Thuốc tây</t>
  </si>
  <si>
    <t xml:space="preserve"> Đăng ký Netflix</t>
  </si>
  <si>
    <t xml:space="preserve"> Sửa xe máy</t>
  </si>
  <si>
    <t xml:space="preserve"> Lì xì sớm</t>
  </si>
  <si>
    <t xml:space="preserve"> Vé máy bay về quê</t>
  </si>
  <si>
    <t xml:space="preserve"> Trà sữa</t>
  </si>
  <si>
    <t xml:space="preserve"> Thu nợ bạn thân</t>
  </si>
  <si>
    <t xml:space="preserve"> Taxi đi sân bay</t>
  </si>
  <si>
    <t xml:space="preserve"> Lương tháng 1</t>
  </si>
  <si>
    <t xml:space="preserve"> Tiền lì xì cháu</t>
  </si>
  <si>
    <t xml:space="preserve"> Mừng tuổi bố mẹ</t>
  </si>
  <si>
    <t xml:space="preserve"> Ăn uống ngày Tết</t>
  </si>
  <si>
    <t xml:space="preserve"> Tiền lì xì nhận được</t>
  </si>
  <si>
    <t xml:space="preserve"> Đi chùa đầu năm</t>
  </si>
  <si>
    <t xml:space="preserve"> Cafe khai xuân</t>
  </si>
  <si>
    <t xml:space="preserve"> Hoa hồng bán hàng</t>
  </si>
  <si>
    <t xml:space="preserve"> Mua đồ ăn sẵn</t>
  </si>
  <si>
    <t xml:space="preserve"> Sửa vòi nước</t>
  </si>
  <si>
    <t xml:space="preserve"> Mua quà Valentine</t>
  </si>
  <si>
    <t xml:space="preserve"> Ăn tối lãng mạn</t>
  </si>
  <si>
    <t xml:space="preserve"> Thưởng dự án</t>
  </si>
  <si>
    <t xml:space="preserve"> Mua bỉm sữa</t>
  </si>
  <si>
    <t xml:space="preserve"> Nạp thẻ điện thoại</t>
  </si>
  <si>
    <t xml:space="preserve"> Giặt là</t>
  </si>
  <si>
    <t xml:space="preserve"> Bán cổ phiếu</t>
  </si>
  <si>
    <t xml:space="preserve"> Nhậu cuối tuần</t>
  </si>
  <si>
    <t xml:space="preserve"> Mua gói Canva Pro</t>
  </si>
  <si>
    <t xml:space="preserve"> Freelance thiết kế</t>
  </si>
  <si>
    <t xml:space="preserve"> Ăn trưa đồng nghiệp</t>
  </si>
  <si>
    <t xml:space="preserve"> Lãi chứng khoán</t>
  </si>
  <si>
    <t xml:space="preserve"> Cafe cuối tuần</t>
  </si>
  <si>
    <t xml:space="preserve"> Tiền điện nước</t>
  </si>
  <si>
    <t xml:space="preserve"> Hoàn tiền Grab</t>
  </si>
  <si>
    <t xml:space="preserve"> Học phí tiếng Anh</t>
  </si>
  <si>
    <t xml:space="preserve"> Lương tháng 2</t>
  </si>
  <si>
    <t xml:space="preserve"> Mua thuốc</t>
  </si>
  <si>
    <t xml:space="preserve"> Đổ xăng</t>
  </si>
  <si>
    <t xml:space="preserve"> Bán máy ảnh cũ</t>
  </si>
  <si>
    <t xml:space="preserve"> Vé xem phim</t>
  </si>
  <si>
    <t xml:space="preserve"> Siêu thị cuối tuần</t>
  </si>
  <si>
    <t xml:space="preserve"> Thưởng nóng</t>
  </si>
  <si>
    <t xml:space="preserve"> Sửa máy tính</t>
  </si>
  <si>
    <t xml:space="preserve"> Quà cưới bạn</t>
  </si>
  <si>
    <t xml:space="preserve"> Mua thực phẩm sạch</t>
  </si>
  <si>
    <t xml:space="preserve"> Gửi xe tháng</t>
  </si>
  <si>
    <t xml:space="preserve"> Youtube Premium</t>
  </si>
  <si>
    <t xml:space="preserve"> Buffet lẩu</t>
  </si>
  <si>
    <t xml:space="preserve"> Freelance Content</t>
  </si>
  <si>
    <t xml:space="preserve"> Mua giày chạy bộ</t>
  </si>
  <si>
    <t xml:space="preserve"> Đi khám răng</t>
  </si>
  <si>
    <t xml:space="preserve"> Cafe làm việc</t>
  </si>
  <si>
    <t xml:space="preserve"> Lãi tiết kiệm online</t>
  </si>
  <si>
    <t xml:space="preserve"> Tiền rác + quỹ phố</t>
  </si>
  <si>
    <t xml:space="preserve"> Mua mỹ phẩm</t>
  </si>
  <si>
    <t xml:space="preserve"> Grab Bike</t>
  </si>
  <si>
    <t xml:space="preserve"> Hoàn thuế TNCN</t>
  </si>
  <si>
    <t xml:space="preserve"> Internet</t>
  </si>
  <si>
    <t xml:space="preserve"> Lương tháng 3</t>
  </si>
  <si>
    <t xml:space="preserve"> Du lịch Đà Lạt</t>
  </si>
  <si>
    <t xml:space="preserve"> Ăn uống Đà Lạt</t>
  </si>
  <si>
    <t xml:space="preserve"> Tiền lì xì tồn</t>
  </si>
  <si>
    <t xml:space="preserve"> Mua hoa quả</t>
  </si>
  <si>
    <t xml:space="preserve"> Đồ chơi cho con</t>
  </si>
  <si>
    <t xml:space="preserve"> Bán vàng</t>
  </si>
  <si>
    <t xml:space="preserve"> Sửa điều hòa</t>
  </si>
  <si>
    <t xml:space="preserve"> Phí duy trì thẻ</t>
  </si>
  <si>
    <t xml:space="preserve"> Quần áo hè</t>
  </si>
  <si>
    <t xml:space="preserve"> Tiền môi giới đất</t>
  </si>
  <si>
    <t xml:space="preserve"> Ăn mừng</t>
  </si>
  <si>
    <t xml:space="preserve"> Phí đăng kiểm xe máy</t>
  </si>
  <si>
    <t xml:space="preserve"> Cổ tức mã HPG</t>
  </si>
  <si>
    <t xml:space="preserve"> Mua quạt hơi nước</t>
  </si>
  <si>
    <t xml:space="preserve"> Ăn sáng + Cafe</t>
  </si>
  <si>
    <t xml:space="preserve"> Hoàn tiền bảo hiểm</t>
  </si>
  <si>
    <t xml:space="preserve"> Học thêm cho con</t>
  </si>
  <si>
    <t xml:space="preserve"> Mua đồ decor nhà</t>
  </si>
  <si>
    <t xml:space="preserve"> Tiền điện tháng 3</t>
  </si>
  <si>
    <t xml:space="preserve"> Freelance dịch thuật</t>
  </si>
  <si>
    <t xml:space="preserve"> Sửa máy lọc nước</t>
  </si>
  <si>
    <t xml:space="preserve"> Siêu thị thực phẩm</t>
  </si>
  <si>
    <t xml:space="preserve"> Lãi tiết kiệm Online</t>
  </si>
  <si>
    <t xml:space="preserve"> Mua vợt cầu lông</t>
  </si>
  <si>
    <t xml:space="preserve"> Taxi đi tiệc</t>
  </si>
  <si>
    <t xml:space="preserve"> Quỹ lớp cho con</t>
  </si>
  <si>
    <t xml:space="preserve"> Bán đồ điện tử cũ</t>
  </si>
  <si>
    <t xml:space="preserve"> Nhậu cùng sếp</t>
  </si>
  <si>
    <t xml:space="preserve"> Thưởng lễ 30/04</t>
  </si>
  <si>
    <t xml:space="preserve"> Du lịch Vũng Tàu</t>
  </si>
  <si>
    <t xml:space="preserve"> Thuê xe máy</t>
  </si>
  <si>
    <t xml:space="preserve"> Lương tháng 4</t>
  </si>
  <si>
    <t xml:space="preserve"> Mua trái cây</t>
  </si>
  <si>
    <t xml:space="preserve"> Nạp tiền điện thoại</t>
  </si>
  <si>
    <t xml:space="preserve"> Freelance Design</t>
  </si>
  <si>
    <t xml:space="preserve"> Bảo dưỡng ô tô</t>
  </si>
  <si>
    <t xml:space="preserve"> Ăn tối gia đình</t>
  </si>
  <si>
    <t xml:space="preserve"> Mua máy xay</t>
  </si>
  <si>
    <t xml:space="preserve"> Hoàn tiền Shopee</t>
  </si>
  <si>
    <t xml:space="preserve"> Gửi xe sân bay</t>
  </si>
  <si>
    <t xml:space="preserve"> Thu nợ bạn cũ</t>
  </si>
  <si>
    <t xml:space="preserve"> Học phí Gym</t>
  </si>
  <si>
    <t xml:space="preserve"> Cafe hẹn hò</t>
  </si>
  <si>
    <t xml:space="preserve"> Bán đồng nát</t>
  </si>
  <si>
    <t xml:space="preserve"> Mua thuốc bổ</t>
  </si>
  <si>
    <t xml:space="preserve"> Sửa khóa cửa</t>
  </si>
  <si>
    <t xml:space="preserve"> Freelance Code</t>
  </si>
  <si>
    <t xml:space="preserve"> Liên hoan cty</t>
  </si>
  <si>
    <t xml:space="preserve"> Quà sinh nhật</t>
  </si>
  <si>
    <t xml:space="preserve"> Nạp thẻ Game</t>
  </si>
  <si>
    <t xml:space="preserve"> Lì xì muộn</t>
  </si>
  <si>
    <t xml:space="preserve"> Giặt hấp vest</t>
  </si>
  <si>
    <t xml:space="preserve"> Ăn trưa bún chả</t>
  </si>
  <si>
    <t xml:space="preserve"> Lương tháng 5</t>
  </si>
  <si>
    <t xml:space="preserve"> Lương tháng 6</t>
  </si>
  <si>
    <t xml:space="preserve"> Mua iPad Pro</t>
  </si>
  <si>
    <t xml:space="preserve"> Apple Pencil</t>
  </si>
  <si>
    <t xml:space="preserve"> Bán đồ decor</t>
  </si>
  <si>
    <t xml:space="preserve"> Cafe Highland</t>
  </si>
  <si>
    <t xml:space="preserve"> Đổ xăng 95</t>
  </si>
  <si>
    <t xml:space="preserve"> Ăn tối lẩu Thái</t>
  </si>
  <si>
    <t xml:space="preserve"> Hoàn tiền thuế</t>
  </si>
  <si>
    <t xml:space="preserve"> Mua sách Tiki</t>
  </si>
  <si>
    <t xml:space="preserve"> Tiền điện tháng 5</t>
  </si>
  <si>
    <t xml:space="preserve"> Lãi tiết kiệm</t>
  </si>
  <si>
    <t xml:space="preserve"> Buffet nướng</t>
  </si>
  <si>
    <t xml:space="preserve"> Grab Car đi tiệc</t>
  </si>
  <si>
    <t xml:space="preserve"> Mua nước hoa</t>
  </si>
  <si>
    <t xml:space="preserve"> Siêu thị Winmart</t>
  </si>
  <si>
    <t xml:space="preserve"> Ăn trưa bún đậu</t>
  </si>
  <si>
    <t xml:space="preserve"> Mua sắm Zara</t>
  </si>
  <si>
    <t xml:space="preserve"> Bảo hiểm ô tô</t>
  </si>
  <si>
    <t xml:space="preserve"> Cafe Starbucks</t>
  </si>
  <si>
    <t xml:space="preserve"> Đi ăn cưới</t>
  </si>
  <si>
    <t xml:space="preserve"> Thay lốp xe</t>
  </si>
  <si>
    <t xml:space="preserve"> Phí visa</t>
  </si>
  <si>
    <t xml:space="preserve"> Lãi cho vay</t>
  </si>
  <si>
    <t xml:space="preserve"> Mua vali</t>
  </si>
  <si>
    <t xml:space="preserve"> Ăn sáng phở</t>
  </si>
  <si>
    <t xml:space="preserve"> Refund Shopee</t>
  </si>
  <si>
    <t xml:space="preserve"> Tiền mạng</t>
  </si>
  <si>
    <t xml:space="preserve"> Freelance Logo</t>
  </si>
  <si>
    <t xml:space="preserve"> Siêu thị Aeon</t>
  </si>
  <si>
    <t xml:space="preserve"> Tiền bản quyền</t>
  </si>
  <si>
    <t xml:space="preserve"> Thưởng nóng dự án</t>
  </si>
  <si>
    <t xml:space="preserve"> Đồ tập Gym</t>
  </si>
  <si>
    <t xml:space="preserve"> Bán tủ lạnh cũ</t>
  </si>
  <si>
    <t xml:space="preserve"> Mua bảo hiểm sức khỏe</t>
  </si>
  <si>
    <t xml:space="preserve"> Thưởng KPI tháng 7</t>
  </si>
  <si>
    <t xml:space="preserve"> Hoàn tiền GrabCar</t>
  </si>
  <si>
    <t xml:space="preserve"> Cắt tóc + gội đầu</t>
  </si>
  <si>
    <t xml:space="preserve"> Lương tháng 7</t>
  </si>
  <si>
    <t xml:space="preserve"> Tiền nhà tháng 8</t>
  </si>
  <si>
    <t xml:space="preserve"> Tiền điện tháng 7</t>
  </si>
  <si>
    <t xml:space="preserve"> Bán đồ cũ thanh lý</t>
  </si>
  <si>
    <t xml:space="preserve"> Mua đồ ăn vặt</t>
  </si>
  <si>
    <t xml:space="preserve"> Thưởng nóng dự án A</t>
  </si>
  <si>
    <t xml:space="preserve"> Đổ xăng xe máy</t>
  </si>
  <si>
    <t xml:space="preserve"> Siêu thị BigC</t>
  </si>
  <si>
    <t xml:space="preserve"> Lãi cổ phiếu</t>
  </si>
  <si>
    <t xml:space="preserve"> Mua sắm quần áo</t>
  </si>
  <si>
    <t xml:space="preserve"> Refund Lazada</t>
  </si>
  <si>
    <t xml:space="preserve"> Phí duy trì thẻ ATM</t>
  </si>
  <si>
    <t xml:space="preserve"> Mua quà sinh nhật</t>
  </si>
  <si>
    <t xml:space="preserve"> GrabBike đi làm</t>
  </si>
  <si>
    <t xml:space="preserve"> Tiền mạng + cáp</t>
  </si>
  <si>
    <t xml:space="preserve"> Ăn trưa cơm tấm</t>
  </si>
  <si>
    <t xml:space="preserve"> Siêu thị Lotte</t>
  </si>
  <si>
    <t xml:space="preserve"> Lương tháng 8</t>
  </si>
  <si>
    <t xml:space="preserve"> Vé máy bay du lịch</t>
  </si>
  <si>
    <t xml:space="preserve"> Taxi ra sân bay</t>
  </si>
  <si>
    <t xml:space="preserve"> Thưởng 02/09</t>
  </si>
  <si>
    <t xml:space="preserve"> Khách sạn Phú Quốc</t>
  </si>
  <si>
    <t xml:space="preserve"> Ăn uống hải sản</t>
  </si>
  <si>
    <t xml:space="preserve"> Hoàn tiền cọc</t>
  </si>
  <si>
    <t xml:space="preserve"> Quà du lịch</t>
  </si>
  <si>
    <t xml:space="preserve"> Tiền thuê nhà </t>
  </si>
  <si>
    <t xml:space="preserve"> Ăn sáng </t>
  </si>
  <si>
    <t xml:space="preserve"> Siêu thị </t>
  </si>
  <si>
    <t xml:space="preserve"> Internet </t>
  </si>
  <si>
    <t xml:space="preserve"> Mua sách </t>
  </si>
  <si>
    <t xml:space="preserve"> Hoàn tiền </t>
  </si>
  <si>
    <t xml:space="preserve"> Sắm Tết </t>
  </si>
  <si>
    <t xml:space="preserve"> Gym </t>
  </si>
  <si>
    <t xml:space="preserve"> Thuê kho </t>
  </si>
  <si>
    <t xml:space="preserve"> Mua sắm </t>
  </si>
  <si>
    <t xml:space="preserve"> Ăn tối </t>
  </si>
  <si>
    <t xml:space="preserve"> Hoàn tiền thuế </t>
  </si>
  <si>
    <t>Tháng 1</t>
  </si>
  <si>
    <t>Phở</t>
  </si>
  <si>
    <t>Winmart</t>
  </si>
  <si>
    <t>Tiki</t>
  </si>
  <si>
    <t>Refund</t>
  </si>
  <si>
    <t>Quần áo</t>
  </si>
  <si>
    <t>Gói tháng</t>
  </si>
  <si>
    <t>Khoán</t>
  </si>
  <si>
    <t>Lazada</t>
  </si>
  <si>
    <t>Pizza</t>
  </si>
  <si>
    <t>3 tháng</t>
  </si>
  <si>
    <t>đợt 2</t>
  </si>
  <si>
    <t>Hạng Mục</t>
  </si>
  <si>
    <t>Chi Tiết</t>
  </si>
  <si>
    <t>Tháng</t>
  </si>
  <si>
    <t>So_Tien_Thuc</t>
  </si>
  <si>
    <t>Canh_Bao</t>
  </si>
  <si>
    <t>LoạiGD</t>
  </si>
  <si>
    <t>Chi</t>
  </si>
  <si>
    <t>Thu</t>
  </si>
  <si>
    <t>Row Labels</t>
  </si>
  <si>
    <t>Grand Total</t>
  </si>
  <si>
    <t>Column Labels</t>
  </si>
  <si>
    <t>Sum of So_Tien_Thuc</t>
  </si>
  <si>
    <t>(All)</t>
  </si>
  <si>
    <t>Sum of Số_Tiền</t>
  </si>
  <si>
    <t>Dashboard Doanh Thu.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</si>
</sst>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010000]d/m/yyyy;@"/>
  </numFmts>
  <fonts count="5" x14ac:knownFonts="1">
    <font>
      <sz val="11"/>
      <color theme="1"/>
      <name val="Calibri"/>
      <scheme val="minor"/>
    </font>
    <font>
      <b/>
      <sz val="11"/>
      <color theme="1"/>
      <name val="Calibri"/>
      <scheme val="minor"/>
    </font>
    <font>
      <sz val="11"/>
      <color theme="1"/>
      <name val="Calibri"/>
      <scheme val="minor"/>
    </font>
    <font>
      <b/>
      <sz val="11"/>
      <color theme="1"/>
      <name val="Calibri"/>
      <family val="2"/>
      <scheme val="minor"/>
    </font>
    <font>
      <sz val="36"/>
      <color theme="4" tint="-0.499984740745262"/>
      <name val="Times New Roman"/>
      <family val="1"/>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2" fillId="0" borderId="0" xfId="0" applyFont="1"/>
    <xf numFmtId="166" fontId="1" fillId="0" borderId="0" xfId="0" applyNumberFormat="1" applyFont="1" applyAlignment="1">
      <alignment horizontal="center"/>
    </xf>
    <xf numFmtId="166" fontId="2" fillId="0" borderId="0" xfId="0" applyNumberFormat="1" applyFont="1"/>
    <xf numFmtId="166" fontId="0" fillId="0" borderId="0" xfId="0" applyNumberFormat="1"/>
    <xf numFmtId="166" fontId="3" fillId="0" borderId="0" xfId="0" applyNumberFormat="1" applyFont="1" applyAlignment="1">
      <alignment horizontal="center"/>
    </xf>
    <xf numFmtId="0" fontId="2" fillId="0" borderId="0" xfId="0" applyNumberFormat="1" applyFont="1"/>
    <xf numFmtId="0" fontId="3"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2" borderId="0" xfId="0" applyFont="1" applyFill="1" applyAlignment="1">
      <alignment horizontal="center" vertical="center"/>
    </xf>
  </cellXfs>
  <cellStyles count="1">
    <cellStyle name="Normal" xfId="0" builtinId="0"/>
  </cellStyles>
  <dxfs count="14">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166" formatCode="[$-1010000]d/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[Dataset_SS13_Bai4.xlsx]Sheet2!PivotTable1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Sheet2!$B$1:$B$2</c:f>
              <c:strCache>
                <c:ptCount val="1"/>
                <c:pt idx="0">
                  <c:v>Thu</c:v>
                </c:pt>
              </c:strCache>
            </c:strRef>
          </c:tx>
          <c:spPr>
            <a:solidFill>
              <a:schemeClr val="accent1">
                <a:shade val="76000"/>
              </a:schemeClr>
            </a:solidFill>
            <a:ln>
              <a:noFill/>
            </a:ln>
            <a:effectLst/>
          </c:spPr>
          <c:invertIfNegative val="0"/>
          <c:cat>
            <c:strRef>
              <c:f>Sheet2!$A$3:$A$15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Sheet2!$B$3:$B$15</c:f>
              <c:numCache>
                <c:formatCode>General</c:formatCode>
                <c:ptCount val="12"/>
                <c:pt idx="0">
                  <c:v>59000000</c:v>
                </c:pt>
                <c:pt idx="1">
                  <c:v>25000000</c:v>
                </c:pt>
                <c:pt idx="2">
                  <c:v>105000000</c:v>
                </c:pt>
                <c:pt idx="3">
                  <c:v>84200000</c:v>
                </c:pt>
                <c:pt idx="4">
                  <c:v>62500000</c:v>
                </c:pt>
                <c:pt idx="5">
                  <c:v>153000000</c:v>
                </c:pt>
                <c:pt idx="6">
                  <c:v>28210000</c:v>
                </c:pt>
                <c:pt idx="7">
                  <c:v>42000000</c:v>
                </c:pt>
                <c:pt idx="8">
                  <c:v>50000000</c:v>
                </c:pt>
                <c:pt idx="9">
                  <c:v>20000000</c:v>
                </c:pt>
                <c:pt idx="10">
                  <c:v>15000000</c:v>
                </c:pt>
                <c:pt idx="11">
                  <c:v>18150000</c:v>
                </c:pt>
              </c:numCache>
            </c:numRef>
          </c:val>
          <c:extLst>
            <c:ext xmlns:c16="http://schemas.microsoft.com/office/drawing/2014/chart" uri="{C3380CC4-5D6E-409C-BE32-E72D297353CC}">
              <c16:uniqueId val="{00000000-897D-4860-907E-851C1CDD019F}"/>
            </c:ext>
          </c:extLst>
        </c:ser>
        <c:dLbls>
          <c:showLegendKey val="0"/>
          <c:showVal val="0"/>
          <c:showCatName val="0"/>
          <c:showSerName val="0"/>
          <c:showPercent val="0"/>
          <c:showBubbleSize val="0"/>
        </c:dLbls>
        <c:gapWidth val="219"/>
        <c:axId val="418732416"/>
        <c:axId val="418732776"/>
      </c:barChart>
      <c:lineChart>
        <c:grouping val="standard"/>
        <c:varyColors val="0"/>
        <c:ser>
          <c:idx val="1"/>
          <c:order val="1"/>
          <c:tx>
            <c:strRef>
              <c:f>Sheet2!$C$1:$C$2</c:f>
              <c:strCache>
                <c:ptCount val="1"/>
                <c:pt idx="0">
                  <c:v>Chi</c:v>
                </c:pt>
              </c:strCache>
            </c:strRef>
          </c:tx>
          <c:spPr>
            <a:ln w="28575" cap="rnd">
              <a:solidFill>
                <a:schemeClr val="accent1">
                  <a:tint val="77000"/>
                </a:schemeClr>
              </a:solidFill>
              <a:round/>
            </a:ln>
            <a:effectLst/>
          </c:spPr>
          <c:marker>
            <c:symbol val="none"/>
          </c:marker>
          <c:cat>
            <c:strRef>
              <c:f>Sheet2!$A$3:$A$15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Sheet2!$C$3:$C$15</c:f>
              <c:numCache>
                <c:formatCode>General</c:formatCode>
                <c:ptCount val="12"/>
                <c:pt idx="0">
                  <c:v>-42000000</c:v>
                </c:pt>
                <c:pt idx="1">
                  <c:v>-6000000</c:v>
                </c:pt>
                <c:pt idx="2">
                  <c:v>-15600000</c:v>
                </c:pt>
                <c:pt idx="4">
                  <c:v>-500000</c:v>
                </c:pt>
                <c:pt idx="10">
                  <c:v>-50000000</c:v>
                </c:pt>
              </c:numCache>
            </c:numRef>
          </c:val>
          <c:smooth val="0"/>
          <c:extLst>
            <c:ext xmlns:c16="http://schemas.microsoft.com/office/drawing/2014/chart" uri="{C3380CC4-5D6E-409C-BE32-E72D297353CC}">
              <c16:uniqueId val="{00000001-897D-4860-907E-851C1CDD019F}"/>
            </c:ext>
          </c:extLst>
        </c:ser>
        <c:dLbls>
          <c:showLegendKey val="0"/>
          <c:showVal val="0"/>
          <c:showCatName val="0"/>
          <c:showSerName val="0"/>
          <c:showPercent val="0"/>
          <c:showBubbleSize val="0"/>
        </c:dLbls>
        <c:marker val="1"/>
        <c:smooth val="0"/>
        <c:axId val="418732416"/>
        <c:axId val="418732776"/>
      </c:lineChart>
      <c:catAx>
        <c:axId val="41873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18732776"/>
        <c:crosses val="autoZero"/>
        <c:auto val="1"/>
        <c:lblAlgn val="ctr"/>
        <c:lblOffset val="100"/>
        <c:noMultiLvlLbl val="0"/>
      </c:catAx>
      <c:valAx>
        <c:axId val="418732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18732416"/>
        <c:crosses val="autoZero"/>
        <c:crossBetween val="between"/>
      </c:valAx>
      <c:spPr>
        <a:solidFill>
          <a:schemeClr val="lt1"/>
        </a:solidFill>
        <a:ln w="12700" cap="flat" cmpd="sng" algn="ctr">
          <a:solidFill>
            <a:schemeClr val="dk1"/>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[Dataset_SS13_Bai4.xlsx]Sheet2!PivotTable2</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Sheet2!$B$38</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B9F-4CB1-8E02-1F387A28185E}"/>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B9F-4CB1-8E02-1F387A28185E}"/>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B9F-4CB1-8E02-1F387A28185E}"/>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B9F-4CB1-8E02-1F387A28185E}"/>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B9F-4CB1-8E02-1F387A28185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Sheet2!$A$39:$A$44</c:f>
              <c:strCache>
                <c:ptCount val="5"/>
                <c:pt idx="0">
                  <c:v> Bán cổ phiếu</c:v>
                </c:pt>
                <c:pt idx="1">
                  <c:v> Hoàn thuế TNCN</c:v>
                </c:pt>
                <c:pt idx="2">
                  <c:v> Lương tháng 6</c:v>
                </c:pt>
                <c:pt idx="3">
                  <c:v> Freelance dịch thuật</c:v>
                </c:pt>
                <c:pt idx="4">
                  <c:v> Vé máy bay về quê</c:v>
                </c:pt>
              </c:strCache>
            </c:strRef>
          </c:cat>
          <c:val>
            <c:numRef>
              <c:f>Sheet2!$B$39:$B$44</c:f>
              <c:numCache>
                <c:formatCode>General</c:formatCode>
                <c:ptCount val="5"/>
                <c:pt idx="0">
                  <c:v>102000000</c:v>
                </c:pt>
                <c:pt idx="1">
                  <c:v>52000000</c:v>
                </c:pt>
                <c:pt idx="2">
                  <c:v>50000000</c:v>
                </c:pt>
                <c:pt idx="3">
                  <c:v>45000000</c:v>
                </c:pt>
                <c:pt idx="4">
                  <c:v>42000000</c:v>
                </c:pt>
              </c:numCache>
            </c:numRef>
          </c:val>
          <c:extLst>
            <c:ext xmlns:c16="http://schemas.microsoft.com/office/drawing/2014/chart" uri="{C3380CC4-5D6E-409C-BE32-E72D297353CC}">
              <c16:uniqueId val="{0000000A-5B9F-4CB1-8E02-1F387A28185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[Dataset_SS13_Bai4.xlsx]Sheet2!PivotTable2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Sheet2!$B$38</c:f>
              <c:strCache>
                <c:ptCount val="1"/>
                <c:pt idx="0">
                  <c:v>Total</c:v>
                </c:pt>
              </c:strCache>
            </c:strRef>
          </c:tx>
          <c:spPr>
            <a:solidFill>
              <a:schemeClr val="accent1"/>
            </a:solidFill>
            <a:ln>
              <a:noFill/>
            </a:ln>
            <a:effectLst/>
          </c:spPr>
          <c:invertIfNegative val="0"/>
          <c:cat>
            <c:strRef>
              <c:f>Sheet2!$A$39:$A$44</c:f>
              <c:strCache>
                <c:ptCount val="5"/>
                <c:pt idx="0">
                  <c:v> Bán cổ phiếu</c:v>
                </c:pt>
                <c:pt idx="1">
                  <c:v> Hoàn thuế TNCN</c:v>
                </c:pt>
                <c:pt idx="2">
                  <c:v> Lương tháng 6</c:v>
                </c:pt>
                <c:pt idx="3">
                  <c:v> Freelance dịch thuật</c:v>
                </c:pt>
                <c:pt idx="4">
                  <c:v> Vé máy bay về quê</c:v>
                </c:pt>
              </c:strCache>
            </c:strRef>
          </c:cat>
          <c:val>
            <c:numRef>
              <c:f>Sheet2!$B$39:$B$44</c:f>
              <c:numCache>
                <c:formatCode>General</c:formatCode>
                <c:ptCount val="5"/>
                <c:pt idx="0">
                  <c:v>102000000</c:v>
                </c:pt>
                <c:pt idx="1">
                  <c:v>52000000</c:v>
                </c:pt>
                <c:pt idx="2">
                  <c:v>50000000</c:v>
                </c:pt>
                <c:pt idx="3">
                  <c:v>45000000</c:v>
                </c:pt>
                <c:pt idx="4">
                  <c:v>42000000</c:v>
                </c:pt>
              </c:numCache>
            </c:numRef>
          </c:val>
          <c:extLst>
            <c:ext xmlns:c16="http://schemas.microsoft.com/office/drawing/2014/chart" uri="{C3380CC4-5D6E-409C-BE32-E72D297353CC}">
              <c16:uniqueId val="{00000000-4149-47F1-B021-425742616228}"/>
            </c:ext>
          </c:extLst>
        </c:ser>
        <c:dLbls>
          <c:showLegendKey val="0"/>
          <c:showVal val="0"/>
          <c:showCatName val="0"/>
          <c:showSerName val="0"/>
          <c:showPercent val="0"/>
          <c:showBubbleSize val="0"/>
        </c:dLbls>
        <c:gapWidth val="182"/>
        <c:axId val="700409680"/>
        <c:axId val="700415440"/>
      </c:barChart>
      <c:catAx>
        <c:axId val="700409680"/>
        <c:scaling>
          <c:orientation val="minMax"/>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0415440"/>
        <c:crosses val="autoZero"/>
        <c:auto val="1"/>
        <c:lblAlgn val="ctr"/>
        <c:lblOffset val="100"/>
        <c:noMultiLvlLbl val="0"/>
      </c:catAx>
      <c:valAx>
        <c:axId val="700415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00409680"/>
        <c:crosses val="autoZero"/>
        <c:crossBetween val="between"/>
      </c:valAx>
      <c:spPr>
        <a:solidFill>
          <a:schemeClr val="lt1"/>
        </a:solidFill>
        <a:ln w="12700" cap="flat" cmpd="sng" algn="ctr">
          <a:solidFill>
            <a:schemeClr val="dk1"/>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[Dataset_SS13_Bai4.xlsx]Sheet2!PivotTable1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Sheet2!$B$1:$B$2</c:f>
              <c:strCache>
                <c:ptCount val="1"/>
                <c:pt idx="0">
                  <c:v>Thu</c:v>
                </c:pt>
              </c:strCache>
            </c:strRef>
          </c:tx>
          <c:spPr>
            <a:solidFill>
              <a:schemeClr val="accent1"/>
            </a:solidFill>
            <a:ln>
              <a:noFill/>
            </a:ln>
            <a:effectLst/>
          </c:spPr>
          <c:invertIfNegative val="0"/>
          <c:cat>
            <c:strRef>
              <c:f>Sheet2!$A$3:$A$15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Sheet2!$B$3:$B$15</c:f>
              <c:numCache>
                <c:formatCode>General</c:formatCode>
                <c:ptCount val="12"/>
                <c:pt idx="0">
                  <c:v>59000000</c:v>
                </c:pt>
                <c:pt idx="1">
                  <c:v>25000000</c:v>
                </c:pt>
                <c:pt idx="2">
                  <c:v>105000000</c:v>
                </c:pt>
                <c:pt idx="3">
                  <c:v>84200000</c:v>
                </c:pt>
                <c:pt idx="4">
                  <c:v>62500000</c:v>
                </c:pt>
                <c:pt idx="5">
                  <c:v>153000000</c:v>
                </c:pt>
                <c:pt idx="6">
                  <c:v>28210000</c:v>
                </c:pt>
                <c:pt idx="7">
                  <c:v>42000000</c:v>
                </c:pt>
                <c:pt idx="8">
                  <c:v>50000000</c:v>
                </c:pt>
                <c:pt idx="9">
                  <c:v>20000000</c:v>
                </c:pt>
                <c:pt idx="10">
                  <c:v>15000000</c:v>
                </c:pt>
                <c:pt idx="11">
                  <c:v>18150000</c:v>
                </c:pt>
              </c:numCache>
            </c:numRef>
          </c:val>
          <c:extLst>
            <c:ext xmlns:c16="http://schemas.microsoft.com/office/drawing/2014/chart" uri="{C3380CC4-5D6E-409C-BE32-E72D297353CC}">
              <c16:uniqueId val="{00000000-5338-4C1A-80CC-252D76403E7E}"/>
            </c:ext>
          </c:extLst>
        </c:ser>
        <c:dLbls>
          <c:showLegendKey val="0"/>
          <c:showVal val="0"/>
          <c:showCatName val="0"/>
          <c:showSerName val="0"/>
          <c:showPercent val="0"/>
          <c:showBubbleSize val="0"/>
        </c:dLbls>
        <c:gapWidth val="219"/>
        <c:axId val="418732416"/>
        <c:axId val="418732776"/>
      </c:barChart>
      <c:lineChart>
        <c:grouping val="standard"/>
        <c:varyColors val="0"/>
        <c:ser>
          <c:idx val="1"/>
          <c:order val="1"/>
          <c:tx>
            <c:strRef>
              <c:f>Sheet2!$C$1:$C$2</c:f>
              <c:strCache>
                <c:ptCount val="1"/>
                <c:pt idx="0">
                  <c:v>Chi</c:v>
                </c:pt>
              </c:strCache>
            </c:strRef>
          </c:tx>
          <c:spPr>
            <a:ln w="28575" cap="rnd">
              <a:solidFill>
                <a:schemeClr val="accent2"/>
              </a:solidFill>
              <a:round/>
            </a:ln>
            <a:effectLst/>
          </c:spPr>
          <c:marker>
            <c:symbol val="none"/>
          </c:marker>
          <c:cat>
            <c:strRef>
              <c:f>Sheet2!$A$3:$A$15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Sheet2!$C$3:$C$15</c:f>
              <c:numCache>
                <c:formatCode>General</c:formatCode>
                <c:ptCount val="12"/>
                <c:pt idx="0">
                  <c:v>-42000000</c:v>
                </c:pt>
                <c:pt idx="1">
                  <c:v>-6000000</c:v>
                </c:pt>
                <c:pt idx="2">
                  <c:v>-15600000</c:v>
                </c:pt>
                <c:pt idx="4">
                  <c:v>-500000</c:v>
                </c:pt>
                <c:pt idx="10">
                  <c:v>-50000000</c:v>
                </c:pt>
              </c:numCache>
            </c:numRef>
          </c:val>
          <c:smooth val="0"/>
          <c:extLst>
            <c:ext xmlns:c16="http://schemas.microsoft.com/office/drawing/2014/chart" uri="{C3380CC4-5D6E-409C-BE32-E72D297353CC}">
              <c16:uniqueId val="{00000001-5338-4C1A-80CC-252D76403E7E}"/>
            </c:ext>
          </c:extLst>
        </c:ser>
        <c:dLbls>
          <c:showLegendKey val="0"/>
          <c:showVal val="0"/>
          <c:showCatName val="0"/>
          <c:showSerName val="0"/>
          <c:showPercent val="0"/>
          <c:showBubbleSize val="0"/>
        </c:dLbls>
        <c:marker val="1"/>
        <c:smooth val="0"/>
        <c:axId val="418732416"/>
        <c:axId val="418732776"/>
      </c:lineChart>
      <c:catAx>
        <c:axId val="41873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18732776"/>
        <c:crosses val="autoZero"/>
        <c:auto val="1"/>
        <c:lblAlgn val="ctr"/>
        <c:lblOffset val="100"/>
        <c:noMultiLvlLbl val="0"/>
      </c:catAx>
      <c:valAx>
        <c:axId val="418732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18732416"/>
        <c:crosses val="autoZero"/>
        <c:crossBetween val="between"/>
      </c:valAx>
      <c:spPr>
        <a:solidFill>
          <a:schemeClr val="lt1"/>
        </a:solidFill>
        <a:ln w="12700" cap="flat" cmpd="sng" algn="ctr">
          <a:solidFill>
            <a:schemeClr val="dk1"/>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[Dataset_SS13_Bai4.xlsx]Sheet2!PivotTable2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Sheet2!$A$39:$A$44</c:f>
              <c:strCache>
                <c:ptCount val="5"/>
                <c:pt idx="0">
                  <c:v> Bán cổ phiếu</c:v>
                </c:pt>
                <c:pt idx="1">
                  <c:v> Hoàn thuế TNCN</c:v>
                </c:pt>
                <c:pt idx="2">
                  <c:v> Lương tháng 6</c:v>
                </c:pt>
                <c:pt idx="3">
                  <c:v> Freelance dịch thuật</c:v>
                </c:pt>
                <c:pt idx="4">
                  <c:v> Vé máy bay về quê</c:v>
                </c:pt>
              </c:strCache>
            </c:strRef>
          </c:cat>
          <c:val>
            <c:numRef>
              <c:f>Sheet2!$B$39:$B$44</c:f>
              <c:numCache>
                <c:formatCode>General</c:formatCode>
                <c:ptCount val="5"/>
                <c:pt idx="0">
                  <c:v>102000000</c:v>
                </c:pt>
                <c:pt idx="1">
                  <c:v>52000000</c:v>
                </c:pt>
                <c:pt idx="2">
                  <c:v>50000000</c:v>
                </c:pt>
                <c:pt idx="3">
                  <c:v>45000000</c:v>
                </c:pt>
                <c:pt idx="4">
                  <c:v>42000000</c:v>
                </c:pt>
              </c:numCache>
            </c:numRef>
          </c:val>
          <c:extLst>
            <c:ext xmlns:c16="http://schemas.microsoft.com/office/drawing/2014/chart" uri="{C3380CC4-5D6E-409C-BE32-E72D297353CC}">
              <c16:uniqueId val="{00000000-6704-4E57-99F3-5CB07AD8472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[Dataset_SS13_Bai4.xlsx]Sheet2!PivotTable2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Sheet2!$B$38</c:f>
              <c:strCache>
                <c:ptCount val="1"/>
                <c:pt idx="0">
                  <c:v>Total</c:v>
                </c:pt>
              </c:strCache>
            </c:strRef>
          </c:tx>
          <c:spPr>
            <a:solidFill>
              <a:schemeClr val="accent1"/>
            </a:solidFill>
            <a:ln>
              <a:noFill/>
            </a:ln>
            <a:effectLst/>
          </c:spPr>
          <c:invertIfNegative val="0"/>
          <c:cat>
            <c:strRef>
              <c:f>Sheet2!$A$39:$A$44</c:f>
              <c:strCache>
                <c:ptCount val="5"/>
                <c:pt idx="0">
                  <c:v> Bán cổ phiếu</c:v>
                </c:pt>
                <c:pt idx="1">
                  <c:v> Hoàn thuế TNCN</c:v>
                </c:pt>
                <c:pt idx="2">
                  <c:v> Lương tháng 6</c:v>
                </c:pt>
                <c:pt idx="3">
                  <c:v> Freelance dịch thuật</c:v>
                </c:pt>
                <c:pt idx="4">
                  <c:v> Vé máy bay về quê</c:v>
                </c:pt>
              </c:strCache>
            </c:strRef>
          </c:cat>
          <c:val>
            <c:numRef>
              <c:f>Sheet2!$B$39:$B$44</c:f>
              <c:numCache>
                <c:formatCode>General</c:formatCode>
                <c:ptCount val="5"/>
                <c:pt idx="0">
                  <c:v>102000000</c:v>
                </c:pt>
                <c:pt idx="1">
                  <c:v>52000000</c:v>
                </c:pt>
                <c:pt idx="2">
                  <c:v>50000000</c:v>
                </c:pt>
                <c:pt idx="3">
                  <c:v>45000000</c:v>
                </c:pt>
                <c:pt idx="4">
                  <c:v>42000000</c:v>
                </c:pt>
              </c:numCache>
            </c:numRef>
          </c:val>
          <c:extLst>
            <c:ext xmlns:c16="http://schemas.microsoft.com/office/drawing/2014/chart" uri="{C3380CC4-5D6E-409C-BE32-E72D297353CC}">
              <c16:uniqueId val="{00000000-518E-4137-8FDB-AAF8E1EBB876}"/>
            </c:ext>
          </c:extLst>
        </c:ser>
        <c:dLbls>
          <c:showLegendKey val="0"/>
          <c:showVal val="0"/>
          <c:showCatName val="0"/>
          <c:showSerName val="0"/>
          <c:showPercent val="0"/>
          <c:showBubbleSize val="0"/>
        </c:dLbls>
        <c:gapWidth val="182"/>
        <c:axId val="700409680"/>
        <c:axId val="700415440"/>
      </c:barChart>
      <c:catAx>
        <c:axId val="700409680"/>
        <c:scaling>
          <c:orientation val="minMax"/>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0415440"/>
        <c:crosses val="autoZero"/>
        <c:auto val="1"/>
        <c:lblAlgn val="ctr"/>
        <c:lblOffset val="100"/>
        <c:noMultiLvlLbl val="0"/>
      </c:catAx>
      <c:valAx>
        <c:axId val="700415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00409680"/>
        <c:crosses val="autoZero"/>
        <c:crossBetween val="between"/>
      </c:valAx>
      <c:spPr>
        <a:solidFill>
          <a:schemeClr val="lt1"/>
        </a:solidFill>
        <a:ln w="12700" cap="flat" cmpd="sng" algn="ctr">
          <a:solidFill>
            <a:schemeClr val="dk1"/>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7</xdr:col>
      <xdr:colOff>228600</xdr:colOff>
      <xdr:row>20</xdr:row>
      <xdr:rowOff>76200</xdr:rowOff>
    </xdr:to>
    <xdr:graphicFrame macro="">
      <xdr:nvGraphicFramePr>
        <xdr:cNvPr id="2" name="Chart 1">
          <a:extLst>
            <a:ext uri="{FF2B5EF4-FFF2-40B4-BE49-F238E27FC236}">
              <a16:creationId xmlns:a16="http://schemas.microsoft.com/office/drawing/2014/main" id="{F1E8B425-BB6F-4373-965C-3A4A15D3B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7</xdr:col>
      <xdr:colOff>304800</xdr:colOff>
      <xdr:row>35</xdr:row>
      <xdr:rowOff>76200</xdr:rowOff>
    </xdr:to>
    <xdr:graphicFrame macro="">
      <xdr:nvGraphicFramePr>
        <xdr:cNvPr id="4" name="Chart 3">
          <a:extLst>
            <a:ext uri="{FF2B5EF4-FFF2-40B4-BE49-F238E27FC236}">
              <a16:creationId xmlns:a16="http://schemas.microsoft.com/office/drawing/2014/main" id="{0C03CEF2-38D3-4FCD-86A6-569500A61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21</xdr:row>
      <xdr:rowOff>0</xdr:rowOff>
    </xdr:from>
    <xdr:to>
      <xdr:col>16</xdr:col>
      <xdr:colOff>123825</xdr:colOff>
      <xdr:row>35</xdr:row>
      <xdr:rowOff>76200</xdr:rowOff>
    </xdr:to>
    <xdr:graphicFrame macro="">
      <xdr:nvGraphicFramePr>
        <xdr:cNvPr id="5" name="Chart 4">
          <a:extLst>
            <a:ext uri="{FF2B5EF4-FFF2-40B4-BE49-F238E27FC236}">
              <a16:creationId xmlns:a16="http://schemas.microsoft.com/office/drawing/2014/main" id="{ACEE4186-0072-4666-A1E6-A3B584F51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6</xdr:row>
      <xdr:rowOff>0</xdr:rowOff>
    </xdr:from>
    <xdr:to>
      <xdr:col>13</xdr:col>
      <xdr:colOff>285750</xdr:colOff>
      <xdr:row>13</xdr:row>
      <xdr:rowOff>38100</xdr:rowOff>
    </xdr:to>
    <mc:AlternateContent xmlns:mc="http://schemas.openxmlformats.org/markup-compatibility/2006">
      <mc:Choice xmlns:tsle="http://schemas.microsoft.com/office/drawing/2012/timeslicer" Requires="tsle">
        <xdr:graphicFrame macro="">
          <xdr:nvGraphicFramePr>
            <xdr:cNvPr id="6" name="Ngày_GD 2">
              <a:extLst>
                <a:ext uri="{FF2B5EF4-FFF2-40B4-BE49-F238E27FC236}">
                  <a16:creationId xmlns:a16="http://schemas.microsoft.com/office/drawing/2014/main" id="{9EADA3C4-05C5-4FF7-B009-C293E658F702}"/>
                </a:ext>
              </a:extLst>
            </xdr:cNvPr>
            <xdr:cNvGraphicFramePr/>
          </xdr:nvGraphicFramePr>
          <xdr:xfrm>
            <a:off x="0" y="0"/>
            <a:ext cx="0" cy="0"/>
          </xdr:xfrm>
          <a:graphic>
            <a:graphicData uri="http://schemas.microsoft.com/office/drawing/2012/timeslicer">
              <tsle:timeslicer xmlns:tsle="http://schemas.microsoft.com/office/drawing/2012/timeslicer" name="Ngày_GD 2"/>
            </a:graphicData>
          </a:graphic>
        </xdr:graphicFrame>
      </mc:Choice>
      <mc:Fallback>
        <xdr:sp macro="" textlink="">
          <xdr:nvSpPr>
            <xdr:cNvPr id="0" name=""/>
            <xdr:cNvSpPr>
              <a:spLocks noTextEdit="1"/>
            </xdr:cNvSpPr>
          </xdr:nvSpPr>
          <xdr:spPr>
            <a:xfrm>
              <a:off x="4826000" y="1143000"/>
              <a:ext cx="33020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0</xdr:colOff>
      <xdr:row>6</xdr:row>
      <xdr:rowOff>0</xdr:rowOff>
    </xdr:from>
    <xdr:to>
      <xdr:col>17</xdr:col>
      <xdr:colOff>0</xdr:colOff>
      <xdr:row>19</xdr:row>
      <xdr:rowOff>47625</xdr:rowOff>
    </xdr:to>
    <mc:AlternateContent xmlns:mc="http://schemas.openxmlformats.org/markup-compatibility/2006">
      <mc:Choice xmlns:a14="http://schemas.microsoft.com/office/drawing/2010/main" Requires="a14">
        <xdr:graphicFrame macro="">
          <xdr:nvGraphicFramePr>
            <xdr:cNvPr id="7" name="Tài_Khoản 1">
              <a:extLst>
                <a:ext uri="{FF2B5EF4-FFF2-40B4-BE49-F238E27FC236}">
                  <a16:creationId xmlns:a16="http://schemas.microsoft.com/office/drawing/2014/main" id="{8481F684-AA9C-42DD-BE62-4B17C1222EEF}"/>
                </a:ext>
              </a:extLst>
            </xdr:cNvPr>
            <xdr:cNvGraphicFramePr/>
          </xdr:nvGraphicFramePr>
          <xdr:xfrm>
            <a:off x="0" y="0"/>
            <a:ext cx="0" cy="0"/>
          </xdr:xfrm>
          <a:graphic>
            <a:graphicData uri="http://schemas.microsoft.com/office/drawing/2010/slicer">
              <sle:slicer xmlns:sle="http://schemas.microsoft.com/office/drawing/2010/slicer" name="Tài_Khoản 1"/>
            </a:graphicData>
          </a:graphic>
        </xdr:graphicFrame>
      </mc:Choice>
      <mc:Fallback>
        <xdr:sp macro="" textlink="">
          <xdr:nvSpPr>
            <xdr:cNvPr id="0" name=""/>
            <xdr:cNvSpPr>
              <a:spLocks noTextEdit="1"/>
            </xdr:cNvSpPr>
          </xdr:nvSpPr>
          <xdr:spPr>
            <a:xfrm>
              <a:off x="8445500" y="1143000"/>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0</xdr:rowOff>
    </xdr:from>
    <xdr:to>
      <xdr:col>4</xdr:col>
      <xdr:colOff>542925</xdr:colOff>
      <xdr:row>30</xdr:row>
      <xdr:rowOff>76200</xdr:rowOff>
    </xdr:to>
    <xdr:graphicFrame macro="">
      <xdr:nvGraphicFramePr>
        <xdr:cNvPr id="2" name="Chart 1">
          <a:extLst>
            <a:ext uri="{FF2B5EF4-FFF2-40B4-BE49-F238E27FC236}">
              <a16:creationId xmlns:a16="http://schemas.microsoft.com/office/drawing/2014/main" id="{8C307414-092C-E2E4-30D0-7207B40E1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161925</xdr:colOff>
      <xdr:row>35</xdr:row>
      <xdr:rowOff>9525</xdr:rowOff>
    </xdr:from>
    <xdr:to>
      <xdr:col>9</xdr:col>
      <xdr:colOff>152400</xdr:colOff>
      <xdr:row>49</xdr:row>
      <xdr:rowOff>85725</xdr:rowOff>
    </xdr:to>
    <xdr:graphicFrame macro="">
      <xdr:nvGraphicFramePr>
        <xdr:cNvPr id="3" name="Chart 2">
          <a:extLst>
            <a:ext uri="{FF2B5EF4-FFF2-40B4-BE49-F238E27FC236}">
              <a16:creationId xmlns:a16="http://schemas.microsoft.com/office/drawing/2014/main" id="{DDEA9A5A-8535-3540-64F4-FA2A017FE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51</xdr:row>
      <xdr:rowOff>0</xdr:rowOff>
    </xdr:from>
    <xdr:to>
      <xdr:col>5</xdr:col>
      <xdr:colOff>438150</xdr:colOff>
      <xdr:row>65</xdr:row>
      <xdr:rowOff>76200</xdr:rowOff>
    </xdr:to>
    <xdr:graphicFrame macro="">
      <xdr:nvGraphicFramePr>
        <xdr:cNvPr id="4" name="Chart 3">
          <a:extLst>
            <a:ext uri="{FF2B5EF4-FFF2-40B4-BE49-F238E27FC236}">
              <a16:creationId xmlns:a16="http://schemas.microsoft.com/office/drawing/2014/main" id="{35C2EB9D-7AC3-241D-65AC-09DB69E38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28575</xdr:colOff>
      <xdr:row>0</xdr:row>
      <xdr:rowOff>0</xdr:rowOff>
    </xdr:from>
    <xdr:to>
      <xdr:col>7</xdr:col>
      <xdr:colOff>28575</xdr:colOff>
      <xdr:row>13</xdr:row>
      <xdr:rowOff>47625</xdr:rowOff>
    </xdr:to>
    <mc:AlternateContent xmlns:mc="http://schemas.openxmlformats.org/markup-compatibility/2006">
      <mc:Choice xmlns:a14="http://schemas.microsoft.com/office/drawing/2010/main" Requires="a14">
        <xdr:graphicFrame macro="">
          <xdr:nvGraphicFramePr>
            <xdr:cNvPr id="5" name="Ngày_GD">
              <a:extLst>
                <a:ext uri="{FF2B5EF4-FFF2-40B4-BE49-F238E27FC236}">
                  <a16:creationId xmlns:a16="http://schemas.microsoft.com/office/drawing/2014/main" id="{E9165BDB-88D0-AF7E-06FD-3B658E446678}"/>
                </a:ext>
              </a:extLst>
            </xdr:cNvPr>
            <xdr:cNvGraphicFramePr/>
          </xdr:nvGraphicFramePr>
          <xdr:xfrm>
            <a:off x="0" y="0"/>
            <a:ext cx="0" cy="0"/>
          </xdr:xfrm>
          <a:graphic>
            <a:graphicData uri="http://schemas.microsoft.com/office/drawing/2010/slicer">
              <sle:slicer xmlns:sle="http://schemas.microsoft.com/office/drawing/2010/slicer" name="Ngày_GD"/>
            </a:graphicData>
          </a:graphic>
        </xdr:graphicFrame>
      </mc:Choice>
      <mc:Fallback>
        <xdr:sp macro="" textlink="">
          <xdr:nvSpPr>
            <xdr:cNvPr id="0" name=""/>
            <xdr:cNvSpPr>
              <a:spLocks noTextEdit="1"/>
            </xdr:cNvSpPr>
          </xdr:nvSpPr>
          <xdr:spPr>
            <a:xfrm>
              <a:off x="379095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6</xdr:row>
      <xdr:rowOff>0</xdr:rowOff>
    </xdr:from>
    <xdr:to>
      <xdr:col>12</xdr:col>
      <xdr:colOff>323850</xdr:colOff>
      <xdr:row>13</xdr:row>
      <xdr:rowOff>38100</xdr:rowOff>
    </xdr:to>
    <mc:AlternateContent xmlns:mc="http://schemas.openxmlformats.org/markup-compatibility/2006">
      <mc:Choice xmlns:tsle="http://schemas.microsoft.com/office/drawing/2012/timeslicer" Requires="tsle">
        <xdr:graphicFrame macro="">
          <xdr:nvGraphicFramePr>
            <xdr:cNvPr id="6" name="Ngày_GD 1">
              <a:extLst>
                <a:ext uri="{FF2B5EF4-FFF2-40B4-BE49-F238E27FC236}">
                  <a16:creationId xmlns:a16="http://schemas.microsoft.com/office/drawing/2014/main" id="{5C518C67-E736-6B28-6418-8F7810471121}"/>
                </a:ext>
              </a:extLst>
            </xdr:cNvPr>
            <xdr:cNvGraphicFramePr/>
          </xdr:nvGraphicFramePr>
          <xdr:xfrm>
            <a:off x="0" y="0"/>
            <a:ext cx="0" cy="0"/>
          </xdr:xfrm>
          <a:graphic>
            <a:graphicData uri="http://schemas.microsoft.com/office/drawing/2012/timeslicer">
              <tsle:timeslicer xmlns:tsle="http://schemas.microsoft.com/office/drawing/2012/timeslicer" name="Ngày_GD 1"/>
            </a:graphicData>
          </a:graphic>
        </xdr:graphicFrame>
      </mc:Choice>
      <mc:Fallback>
        <xdr:sp macro="" textlink="">
          <xdr:nvSpPr>
            <xdr:cNvPr id="0" name=""/>
            <xdr:cNvSpPr>
              <a:spLocks noTextEdit="1"/>
            </xdr:cNvSpPr>
          </xdr:nvSpPr>
          <xdr:spPr>
            <a:xfrm>
              <a:off x="5629275" y="11430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47625</xdr:colOff>
      <xdr:row>0</xdr:row>
      <xdr:rowOff>0</xdr:rowOff>
    </xdr:from>
    <xdr:to>
      <xdr:col>17</xdr:col>
      <xdr:colOff>47625</xdr:colOff>
      <xdr:row>13</xdr:row>
      <xdr:rowOff>47625</xdr:rowOff>
    </xdr:to>
    <mc:AlternateContent xmlns:mc="http://schemas.openxmlformats.org/markup-compatibility/2006">
      <mc:Choice xmlns:a14="http://schemas.microsoft.com/office/drawing/2010/main" Requires="a14">
        <xdr:graphicFrame macro="">
          <xdr:nvGraphicFramePr>
            <xdr:cNvPr id="7" name="Tài_Khoản">
              <a:extLst>
                <a:ext uri="{FF2B5EF4-FFF2-40B4-BE49-F238E27FC236}">
                  <a16:creationId xmlns:a16="http://schemas.microsoft.com/office/drawing/2014/main" id="{3A502467-5A88-97CF-2F80-19A20BDA01E6}"/>
                </a:ext>
              </a:extLst>
            </xdr:cNvPr>
            <xdr:cNvGraphicFramePr/>
          </xdr:nvGraphicFramePr>
          <xdr:xfrm>
            <a:off x="0" y="0"/>
            <a:ext cx="0" cy="0"/>
          </xdr:xfrm>
          <a:graphic>
            <a:graphicData uri="http://schemas.microsoft.com/office/drawing/2010/slicer">
              <sle:slicer xmlns:sle="http://schemas.microsoft.com/office/drawing/2010/slicer" name="Tài_Khoản"/>
            </a:graphicData>
          </a:graphic>
        </xdr:graphicFrame>
      </mc:Choice>
      <mc:Fallback>
        <xdr:sp macro="" textlink="">
          <xdr:nvSpPr>
            <xdr:cNvPr id="0" name=""/>
            <xdr:cNvSpPr>
              <a:spLocks noTextEdit="1"/>
            </xdr:cNvSpPr>
          </xdr:nvSpPr>
          <xdr:spPr>
            <a:xfrm>
              <a:off x="108966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051.326348379633" createdVersion="8" refreshedVersion="8" minRefreshableVersion="3" recordCount="235" xr:uid="{5DE6F02F-046A-4F48-8D44-76A5ED78B020}">
  <cacheSource type="worksheet">
    <worksheetSource ref="A1:L236" sheet="Sheet1"/>
  </cacheSource>
  <cacheFields count="12">
    <cacheField name="STT" numFmtId="0">
      <sharedItems containsSemiMixedTypes="0" containsString="0" containsNumber="1" containsInteger="1" minValue="1" maxValue="248"/>
    </cacheField>
    <cacheField name="LoạiGD" numFmtId="0">
      <sharedItems count="2">
        <s v="Chi"/>
        <s v="Thu"/>
      </sharedItems>
    </cacheField>
    <cacheField name="Hạng Mục" numFmtId="0">
      <sharedItems count="196">
        <s v=" Tiền thuê nhà "/>
        <s v=" Thưởng Tết dương lịch"/>
        <s v=" Ăn sáng "/>
        <s v=" Lương tháng 12"/>
        <s v=" Cafe với bạn"/>
        <s v=" Đổ xăng xe"/>
        <s v=" Đóng tiền điện"/>
        <s v=" Mua quà tặng"/>
        <s v=" Siêu thị "/>
        <s v=" Freelance Project"/>
        <s v=" Cắt tóc"/>
        <s v=" Internet "/>
        <s v=" Buffet tối"/>
        <s v=" Tiền lãi tiết kiệm"/>
        <s v=" Grab Car"/>
        <s v=" Mua sách "/>
        <s v=" Thuốc tây"/>
        <s v=" Hoàn tiền "/>
        <s v=" Đăng ký Netflix"/>
        <s v=" Sửa xe máy"/>
        <s v=" Lì xì sớm"/>
        <s v=" Sắm Tết "/>
        <s v=" Vé máy bay về quê"/>
        <s v=" Trà sữa"/>
        <s v=" Thu nợ bạn thân"/>
        <s v=" Taxi đi sân bay"/>
        <s v=" Lương tháng 1"/>
        <s v=" Tiền lì xì cháu"/>
        <s v=" Mừng tuổi bố mẹ"/>
        <s v=" Ăn uống ngày Tết"/>
        <s v=" Tiền lì xì nhận được"/>
        <s v=" Đi chùa đầu năm"/>
        <s v=" Cafe khai xuân"/>
        <s v=" Hoa hồng bán hàng"/>
        <s v=" Mua đồ ăn sẵn"/>
        <s v=" Gym "/>
        <s v=" Thuê kho "/>
        <s v=" Sửa vòi nước"/>
        <s v=" Mua quà Valentine"/>
        <s v=" Ăn tối lãng mạn"/>
        <s v=" Thưởng dự án"/>
        <s v=" Mua bỉm sữa"/>
        <s v=" Nạp thẻ điện thoại"/>
        <s v=" Giặt là"/>
        <s v=" Bán cổ phiếu"/>
        <s v=" Mua gói Canva Pro"/>
        <s v=" Freelance thiết kế"/>
        <s v=" Ăn trưa đồng nghiệp"/>
        <s v=" Lãi chứng khoán"/>
        <s v=" Cafe cuối tuần"/>
        <s v=" Mua sắm "/>
        <s v=" Tiền điện nước"/>
        <s v=" Hoàn tiền Grab"/>
        <s v=" Học phí tiếng Anh"/>
        <s v=" Ăn tối "/>
        <s v=" Lương tháng 2"/>
        <s v=" Mua thuốc"/>
        <s v=" Đổ xăng"/>
        <s v=" Bán máy ảnh cũ"/>
        <s v=" Vé xem phim"/>
        <s v=" Siêu thị cuối tuần"/>
        <s v=" Thưởng nóng"/>
        <s v=" Sửa máy tính"/>
        <s v=" Quà cưới bạn"/>
        <s v=" Mua thực phẩm sạch"/>
        <s v=" Gửi xe tháng"/>
        <s v=" Youtube Premium"/>
        <s v=" Buffet lẩu"/>
        <s v=" Freelance Content"/>
        <s v=" Mua giày chạy bộ"/>
        <s v=" Đi khám răng"/>
        <s v=" Cafe làm việc"/>
        <s v=" Lãi tiết kiệm online"/>
        <s v=" Tiền rác + quỹ phố"/>
        <s v=" Mua mỹ phẩm"/>
        <s v=" Grab Bike"/>
        <s v=" Hoàn thuế TNCN"/>
        <s v=" Nhậu cuối tuần"/>
        <s v=" Internet"/>
        <s v=" Lương tháng 3"/>
        <s v=" Du lịch Đà Lạt"/>
        <s v=" Ăn uống Đà Lạt"/>
        <s v=" Tiền lì xì tồn"/>
        <s v=" Mua hoa quả"/>
        <s v=" Đồ chơi cho con"/>
        <s v=" Bán vàng"/>
        <s v=" Sửa điều hòa"/>
        <s v=" Phí duy trì thẻ"/>
        <s v=" Quần áo hè"/>
        <s v=" Tiền môi giới đất"/>
        <s v=" Ăn mừng"/>
        <s v=" Phí đăng kiểm xe máy"/>
        <s v=" Cổ tức mã HPG"/>
        <s v=" Mua quạt hơi nước"/>
        <s v=" Ăn sáng + Cafe"/>
        <s v=" Hoàn tiền bảo hiểm"/>
        <s v=" Học thêm cho con"/>
        <s v=" Mua đồ decor nhà"/>
        <s v=" Tiền điện tháng 3"/>
        <s v=" Freelance dịch thuật"/>
        <s v=" Sửa máy lọc nước"/>
        <s v=" Siêu thị thực phẩm"/>
        <s v=" Mua vợt cầu lông"/>
        <s v=" Taxi đi tiệc"/>
        <s v=" Quỹ lớp cho con"/>
        <s v=" Bán đồ điện tử cũ"/>
        <s v=" Nhậu cùng sếp"/>
        <s v=" Thưởng lễ 30/04"/>
        <s v=" Du lịch Vũng Tàu"/>
        <s v=" Thuê xe máy"/>
        <s v=" Lương tháng 4"/>
        <s v=" Mua trái cây"/>
        <s v=" Nạp tiền điện thoại"/>
        <s v=" Freelance Design"/>
        <s v=" Bảo dưỡng ô tô"/>
        <s v=" Ăn tối gia đình"/>
        <s v=" Mua máy xay"/>
        <s v=" Hoàn tiền Shopee"/>
        <s v=" Gửi xe sân bay"/>
        <s v=" Thu nợ bạn cũ"/>
        <s v=" Học phí Gym"/>
        <s v=" Cafe hẹn hò"/>
        <s v=" Bán đồng nát"/>
        <s v=" Mua thuốc bổ"/>
        <s v=" Sửa khóa cửa"/>
        <s v=" Freelance Code"/>
        <s v=" Liên hoan cty"/>
        <s v=" Quà sinh nhật"/>
        <s v=" Nạp thẻ Game"/>
        <s v=" Lì xì muộn"/>
        <s v=" Giặt hấp vest"/>
        <s v=" Ăn trưa bún chả"/>
        <s v=" Lương tháng 5"/>
        <s v=" Lương tháng 6"/>
        <s v=" Mua iPad Pro"/>
        <s v=" Apple Pencil"/>
        <s v=" Bán đồ decor"/>
        <s v=" Cafe Highland"/>
        <s v=" Đổ xăng 95"/>
        <s v=" Ăn tối lẩu Thái"/>
        <s v=" Hoàn tiền thuế"/>
        <s v=" Mua sách Tiki"/>
        <s v=" Tiền điện tháng 5"/>
        <s v=" Lãi tiết kiệm"/>
        <s v=" Buffet nướng"/>
        <s v=" Grab Car đi tiệc"/>
        <s v=" Mua nước hoa"/>
        <s v=" Siêu thị Winmart"/>
        <s v=" Ăn trưa bún đậu"/>
        <s v=" Mua sắm Zara"/>
        <s v=" Bảo hiểm ô tô"/>
        <s v=" Cafe Starbucks"/>
        <s v=" Đi ăn cưới"/>
        <s v=" Thay lốp xe"/>
        <s v=" Phí visa"/>
        <s v=" Lãi cho vay"/>
        <s v=" Mua vali"/>
        <s v=" Ăn sáng phở"/>
        <s v=" Refund Shopee"/>
        <s v=" Tiền mạng"/>
        <s v=" Freelance Logo"/>
        <s v=" Siêu thị Aeon"/>
        <s v=" Tiền bản quyền"/>
        <s v=" Thưởng nóng dự án"/>
        <s v=" Đồ tập Gym"/>
        <s v=" Bán tủ lạnh cũ"/>
        <s v=" Mua bảo hiểm sức khỏe"/>
        <s v=" Thưởng KPI tháng 7"/>
        <s v=" Hoàn tiền GrabCar"/>
        <s v=" Cắt tóc + gội đầu"/>
        <s v=" Lương tháng 7"/>
        <s v=" Tiền nhà tháng 8"/>
        <s v=" Tiền điện tháng 7"/>
        <s v=" Bán đồ cũ thanh lý"/>
        <s v=" Mua đồ ăn vặt"/>
        <s v=" Thưởng nóng dự án A"/>
        <s v=" Đổ xăng xe máy"/>
        <s v=" Siêu thị BigC"/>
        <s v=" Lãi cổ phiếu"/>
        <s v=" Mua sắm quần áo"/>
        <s v=" Refund Lazada"/>
        <s v=" Phí duy trì thẻ ATM"/>
        <s v=" Mua quà sinh nhật"/>
        <s v=" GrabBike đi làm"/>
        <s v=" Hoàn tiền thuế "/>
        <s v=" Tiền mạng + cáp"/>
        <s v=" Ăn trưa cơm tấm"/>
        <s v=" Siêu thị Lotte"/>
        <s v=" Lương tháng 8"/>
        <s v=" Vé máy bay du lịch"/>
        <s v=" Taxi ra sân bay"/>
        <s v=" Thưởng 02/09"/>
        <s v=" Khách sạn Phú Quốc"/>
        <s v=" Ăn uống hải sản"/>
        <s v=" Hoàn tiền cọc"/>
        <s v=" Quà du lịch"/>
      </sharedItems>
    </cacheField>
    <cacheField name="Chi Tiết" numFmtId="0">
      <sharedItems containsBlank="1"/>
    </cacheField>
    <cacheField name="Số_Tiền" numFmtId="0">
      <sharedItems containsSemiMixedTypes="0" containsString="0" containsNumber="1" containsInteger="1" minValue="11000" maxValue="225000000"/>
    </cacheField>
    <cacheField name="So_Tien_Thuc" numFmtId="0">
      <sharedItems containsSemiMixedTypes="0" containsString="0" containsNumber="1" containsInteger="1" minValue="-225000000" maxValue="102000000"/>
    </cacheField>
    <cacheField name="Canh_Bao" numFmtId="0">
      <sharedItems/>
    </cacheField>
    <cacheField name="Ngày_GD" numFmtId="166">
      <sharedItems containsSemiMixedTypes="0" containsNonDate="0" containsDate="1" containsString="0" minDate="2026-01-01T00:00:00" maxDate="2026-12-09T00:00:00" count="235">
        <d v="2026-01-01T00:00:00"/>
        <d v="2026-02-01T00:00:00"/>
        <d v="2026-03-01T00:00:00"/>
        <d v="2026-05-01T00:00:00"/>
        <d v="2026-06-01T00:00:00"/>
        <d v="2026-07-01T00:00:00"/>
        <d v="2026-08-01T00:00:00"/>
        <d v="2026-10-01T00:00:00"/>
        <d v="2026-11-01T00:00:00"/>
        <d v="2026-12-01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9T00:00:00"/>
        <d v="2026-01-30T00:00:00"/>
        <d v="2026-01-02T00:00:00"/>
        <d v="2026-02-02T00:00:00"/>
        <d v="2026-03-02T00:00:00"/>
        <d v="2026-04-02T00:00:00"/>
        <d v="2026-05-02T00:00:00"/>
        <d v="2026-06-02T00:00:00"/>
        <d v="2026-07-02T00:00:00"/>
        <d v="2026-08-02T00:00:00"/>
        <d v="2026-09-02T00:00:00"/>
        <d v="2026-10-02T00:00:00"/>
        <d v="2026-11-02T00:00:00"/>
        <d v="2026-12-02T00:00:00"/>
        <d v="2026-02-13T00:00:00"/>
        <d v="2026-02-14T00:00:00"/>
        <d v="2026-02-15T00:00:00"/>
        <d v="2026-02-16T00:00:00"/>
        <d v="2026-02-17T00:00:00"/>
        <d v="2026-02-18T00:00:00"/>
        <d v="2026-02-19T00:00:00"/>
        <d v="2026-02-21T00:00:00"/>
        <d v="2026-02-22T00:00:00"/>
        <d v="2026-02-23T00:00:00"/>
        <d v="2026-02-25T00:00:00"/>
        <d v="2026-02-26T00:00:00"/>
        <d v="2026-02-27T00:00:00"/>
        <d v="2026-02-28T00:00:00"/>
        <d v="2026-01-03T00:00:00"/>
        <d v="2026-02-03T00:00:00"/>
        <d v="2026-03-03T00:00:00"/>
        <d v="2026-04-03T00:00:00"/>
        <d v="2026-05-03T00:00:00"/>
        <d v="2026-06-03T00:00:00"/>
        <d v="2026-08-03T00:00:00"/>
        <d v="2026-09-03T00:00:00"/>
        <d v="2026-10-03T00:00:00"/>
        <d v="2026-11-03T00:00:00"/>
        <d v="2026-12-03T00:00:00"/>
        <d v="2026-03-13T00:00:00"/>
        <d v="2026-03-14T00:00:00"/>
        <d v="2026-03-15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1-04T00:00:00"/>
        <d v="2026-02-04T00:00:00"/>
        <d v="2026-03-04T00:00:00"/>
        <d v="2026-04-04T00:00:00"/>
        <d v="2026-05-04T00:00:00"/>
        <d v="2026-06-04T00:00:00"/>
        <d v="2026-07-04T00:00:00"/>
        <d v="2026-08-04T00:00:00"/>
        <d v="2026-09-04T00:00:00"/>
        <d v="2026-10-04T00:00:00"/>
        <d v="2026-11-04T00:00:00"/>
        <d v="2026-12-04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30T00:00:00"/>
        <d v="2026-01-05T00:00:00"/>
        <d v="2026-02-05T00:00:00"/>
        <d v="2026-03-05T00:00:00"/>
        <d v="2026-04-05T00:00:00"/>
        <d v="2026-05-05T00:00:00"/>
        <d v="2026-06-05T00:00:00"/>
        <d v="2026-07-05T00:00:00"/>
        <d v="2026-08-05T00:00:00"/>
        <d v="2026-09-05T00:00:00"/>
        <d v="2026-10-05T00:00:00"/>
        <d v="2026-11-05T00:00:00"/>
        <d v="2026-12-05T00:00:00"/>
        <d v="2026-05-13T00:00:00"/>
        <d v="2026-05-14T00:00:00"/>
        <d v="2026-05-15T00:00:00"/>
        <d v="2026-05-16T00:00:00"/>
        <d v="2026-05-17T00:00:00"/>
        <d v="2026-05-18T00:00:00"/>
        <d v="2026-05-19T00:00:00"/>
        <d v="2026-05-20T00:00:00"/>
        <d v="2026-05-21T00:00:00"/>
        <d v="2026-05-22T00:00:00"/>
        <d v="2026-05-24T00:00:00"/>
        <d v="2026-05-25T00:00:00"/>
        <d v="2026-05-26T00:00:00"/>
        <d v="2026-05-27T00:00:00"/>
        <d v="2026-05-28T00:00:00"/>
        <d v="2026-05-29T00:00:00"/>
        <d v="2026-05-30T00:00:00"/>
        <d v="2026-01-06T00:00:00"/>
        <d v="2026-02-06T00:00:00"/>
        <d v="2026-03-06T00:00:00"/>
        <d v="2026-04-06T00:00:00"/>
        <d v="2026-05-06T00:00:00"/>
        <d v="2026-06-06T00:00:00"/>
        <d v="2026-07-06T00:00:00"/>
        <d v="2026-08-06T00:00:00"/>
        <d v="2026-09-06T00:00:00"/>
        <d v="2026-10-06T00:00:00"/>
        <d v="2026-11-06T00:00:00"/>
        <d v="2026-12-06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2-07T00:00:00"/>
        <d v="2026-03-07T00:00:00"/>
        <d v="2026-04-07T00:00:00"/>
        <d v="2026-05-07T00:00:00"/>
        <d v="2026-06-07T00:00:00"/>
        <d v="2026-07-07T00:00:00"/>
        <d v="2026-08-07T00:00:00"/>
        <d v="2026-09-07T00:00:00"/>
        <d v="2026-10-07T00:00:00"/>
        <d v="2026-11-07T00:00:00"/>
        <d v="2026-12-07T00:00:00"/>
        <d v="2026-07-13T00:00:00"/>
        <d v="2026-07-14T00:00:00"/>
        <d v="2026-07-15T00:00:00"/>
        <d v="2026-07-16T00:00:00"/>
        <d v="2026-07-17T00:00:00"/>
        <d v="2026-07-18T00:00:00"/>
        <d v="2026-07-19T00:00:00"/>
        <d v="2026-07-21T00:00:00"/>
        <d v="2026-07-22T00:00:00"/>
        <d v="2026-07-23T00:00:00"/>
        <d v="2026-07-24T00:00:00"/>
        <d v="2026-07-25T00:00:00"/>
        <d v="2026-07-26T00:00:00"/>
        <d v="2026-07-28T00:00:00"/>
        <d v="2026-07-29T00:00:00"/>
        <d v="2026-07-30T00:00:00"/>
        <d v="2026-07-31T00:00:00"/>
        <d v="2026-01-08T00:00:00"/>
        <d v="2026-02-08T00:00:00"/>
        <d v="2026-03-08T00:00:00"/>
        <d v="2026-04-08T00:00:00"/>
        <d v="2026-05-08T00:00:00"/>
        <d v="2026-06-08T00:00:00"/>
        <d v="2026-07-08T00:00:00"/>
        <d v="2026-08-08T00:00:00"/>
        <d v="2026-09-08T00:00:00"/>
        <d v="2026-10-08T00:00:00"/>
        <d v="2026-11-08T00:00:00"/>
        <d v="2026-12-08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1-09T00:00:00"/>
        <d v="2026-02-09T00:00:00"/>
        <d v="2026-03-09T00:00:00"/>
        <d v="2026-04-09T00:00:00"/>
        <d v="2026-05-09T00:00:00"/>
        <d v="2026-06-09T00:00:00"/>
      </sharedItems>
    </cacheField>
    <cacheField name="Tháng" numFmtId="0">
      <sharedItems containsSemiMixedTypes="0" containsString="0" containsNumber="1" containsInteger="1" minValue="1" maxValue="12" count="12">
        <n v="1"/>
        <n v="2"/>
        <n v="3"/>
        <n v="5"/>
        <n v="6"/>
        <n v="7"/>
        <n v="8"/>
        <n v="10"/>
        <n v="11"/>
        <n v="12"/>
        <n v="4"/>
        <n v="9"/>
      </sharedItems>
    </cacheField>
    <cacheField name="Tài_Khoản" numFmtId="0">
      <sharedItems count="4">
        <s v="VCB"/>
        <s v="Ví MoMo"/>
        <s v="Tiền mặt"/>
        <s v="Techcombank"/>
      </sharedItems>
    </cacheField>
    <cacheField name="Trạng_Thái" numFmtId="0">
      <sharedItems/>
    </cacheField>
    <cacheField name="Ghi_Chú" numFmtId="0">
      <sharedItems/>
    </cacheField>
  </cacheFields>
  <extLst>
    <ext xmlns:x14="http://schemas.microsoft.com/office/spreadsheetml/2009/9/main" uri="{725AE2AE-9491-48be-B2B4-4EB974FC3084}">
      <x14:pivotCacheDefinition pivotCacheId="678018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
  <r>
    <n v="1"/>
    <x v="0"/>
    <x v="0"/>
    <s v="Tháng 1"/>
    <n v="75000000"/>
    <n v="-75000000"/>
    <s v="Chi tiêu lớn"/>
    <x v="0"/>
    <x v="0"/>
    <x v="0"/>
    <s v="Hoàn thành"/>
    <s v="Thanh toán định kỳ"/>
  </r>
  <r>
    <n v="2"/>
    <x v="1"/>
    <x v="1"/>
    <m/>
    <n v="5000000"/>
    <n v="5000000"/>
    <s v=""/>
    <x v="1"/>
    <x v="1"/>
    <x v="1"/>
    <s v="Hoàn thành"/>
    <s v="Thưởng công ty"/>
  </r>
  <r>
    <n v="3"/>
    <x v="0"/>
    <x v="2"/>
    <s v="Phở"/>
    <n v="45000"/>
    <n v="-45000"/>
    <s v=""/>
    <x v="2"/>
    <x v="2"/>
    <x v="2"/>
    <s v="Hoàn thành"/>
    <s v="Ăn một mình"/>
  </r>
  <r>
    <n v="5"/>
    <x v="1"/>
    <x v="3"/>
    <m/>
    <n v="25000000"/>
    <n v="25000000"/>
    <s v=""/>
    <x v="3"/>
    <x v="3"/>
    <x v="3"/>
    <s v="Hoàn thành"/>
    <s v="Thu nhập chính"/>
  </r>
  <r>
    <n v="6"/>
    <x v="0"/>
    <x v="4"/>
    <m/>
    <n v="120000"/>
    <n v="-120000"/>
    <s v=""/>
    <x v="4"/>
    <x v="4"/>
    <x v="1"/>
    <s v="Hoàn thành"/>
    <s v="Highlands Coffee"/>
  </r>
  <r>
    <n v="7"/>
    <x v="0"/>
    <x v="5"/>
    <m/>
    <n v="80000"/>
    <n v="-80000"/>
    <s v=""/>
    <x v="5"/>
    <x v="5"/>
    <x v="2"/>
    <s v="Hoàn thành"/>
    <s v="Đầy bình"/>
  </r>
  <r>
    <n v="8"/>
    <x v="0"/>
    <x v="6"/>
    <m/>
    <n v="15000000"/>
    <n v="-15000000"/>
    <s v="Chi tiêu lớn"/>
    <x v="6"/>
    <x v="6"/>
    <x v="0"/>
    <s v="Hoàn thành"/>
    <s v="Hóa đơn tháng 12"/>
  </r>
  <r>
    <n v="10"/>
    <x v="0"/>
    <x v="7"/>
    <m/>
    <n v="500000"/>
    <n v="-500000"/>
    <s v=""/>
    <x v="7"/>
    <x v="7"/>
    <x v="2"/>
    <s v="Hoàn thành"/>
    <s v="Sinh nhật mẹ"/>
  </r>
  <r>
    <n v="11"/>
    <x v="0"/>
    <x v="8"/>
    <s v="Winmart"/>
    <n v="850000"/>
    <n v="-850000"/>
    <s v=""/>
    <x v="8"/>
    <x v="8"/>
    <x v="0"/>
    <s v="Hoàn thành"/>
    <s v="Thực phẩm tuần"/>
  </r>
  <r>
    <n v="12"/>
    <x v="1"/>
    <x v="9"/>
    <m/>
    <n v="10000000"/>
    <n v="10000000"/>
    <s v=""/>
    <x v="9"/>
    <x v="9"/>
    <x v="3"/>
    <s v="Hoàn thành"/>
    <s v="Dự án web"/>
  </r>
  <r>
    <n v="13"/>
    <x v="0"/>
    <x v="10"/>
    <m/>
    <n v="150000"/>
    <n v="-150000"/>
    <s v=""/>
    <x v="10"/>
    <x v="0"/>
    <x v="2"/>
    <s v="Hoàn thành"/>
    <s v="Tiệm quen"/>
  </r>
  <r>
    <n v="14"/>
    <x v="0"/>
    <x v="11"/>
    <s v="FPT"/>
    <n v="250000"/>
    <n v="-250000"/>
    <s v=""/>
    <x v="11"/>
    <x v="0"/>
    <x v="1"/>
    <s v="Hoàn thành"/>
    <s v="Cước tháng"/>
  </r>
  <r>
    <n v="15"/>
    <x v="0"/>
    <x v="12"/>
    <m/>
    <n v="550000"/>
    <n v="-550000"/>
    <s v=""/>
    <x v="12"/>
    <x v="0"/>
    <x v="0"/>
    <s v="Hoàn thành"/>
    <s v="Liên hoan nhóm"/>
  </r>
  <r>
    <n v="16"/>
    <x v="1"/>
    <x v="13"/>
    <m/>
    <n v="12000000"/>
    <n v="12000000"/>
    <s v=""/>
    <x v="13"/>
    <x v="0"/>
    <x v="3"/>
    <s v="Hoàn thành"/>
    <s v="Gửi 6 tháng"/>
  </r>
  <r>
    <n v="17"/>
    <x v="0"/>
    <x v="14"/>
    <m/>
    <n v="110000"/>
    <n v="-110000"/>
    <s v=""/>
    <x v="14"/>
    <x v="0"/>
    <x v="1"/>
    <s v="Hoàn thành"/>
    <s v="Đi tiệc"/>
  </r>
  <r>
    <n v="18"/>
    <x v="0"/>
    <x v="15"/>
    <s v="Tiki"/>
    <n v="320000"/>
    <n v="-320000"/>
    <s v=""/>
    <x v="15"/>
    <x v="0"/>
    <x v="0"/>
    <s v="Hoàn thành"/>
    <s v="Sách kỹ năng"/>
  </r>
  <r>
    <n v="19"/>
    <x v="0"/>
    <x v="16"/>
    <m/>
    <n v="85000"/>
    <n v="-85000"/>
    <s v=""/>
    <x v="16"/>
    <x v="0"/>
    <x v="2"/>
    <s v="Hoàn thành"/>
    <s v="Cảm cúm"/>
  </r>
  <r>
    <n v="20"/>
    <x v="1"/>
    <x v="17"/>
    <s v="Refund"/>
    <n v="150000"/>
    <n v="150000"/>
    <s v=""/>
    <x v="17"/>
    <x v="0"/>
    <x v="1"/>
    <s v="Hoàn thành"/>
    <s v="Lỗi đơn hàng"/>
  </r>
  <r>
    <n v="21"/>
    <x v="0"/>
    <x v="18"/>
    <m/>
    <n v="260000"/>
    <n v="-260000"/>
    <s v=""/>
    <x v="18"/>
    <x v="0"/>
    <x v="0"/>
    <s v="Hoàn thành"/>
    <s v="Gói cao cấp"/>
  </r>
  <r>
    <n v="22"/>
    <x v="0"/>
    <x v="19"/>
    <m/>
    <n v="400000"/>
    <n v="-400000"/>
    <s v=""/>
    <x v="19"/>
    <x v="0"/>
    <x v="2"/>
    <s v="Hoàn thành"/>
    <s v="Thay nhớt"/>
  </r>
  <r>
    <n v="23"/>
    <x v="1"/>
    <x v="20"/>
    <m/>
    <n v="1000000"/>
    <n v="1000000"/>
    <s v=""/>
    <x v="20"/>
    <x v="0"/>
    <x v="2"/>
    <s v="Hoàn thành"/>
    <s v="Họ hàng cho"/>
  </r>
  <r>
    <n v="24"/>
    <x v="0"/>
    <x v="21"/>
    <s v="Quần áo"/>
    <n v="25000000"/>
    <n v="-25000000"/>
    <s v="Chi tiêu lớn"/>
    <x v="21"/>
    <x v="0"/>
    <x v="0"/>
    <s v="Hoàn thành"/>
    <s v="Đồ mới"/>
  </r>
  <r>
    <n v="25"/>
    <x v="0"/>
    <x v="22"/>
    <m/>
    <n v="42000000"/>
    <n v="-42000000"/>
    <s v="Chi tiêu lớn"/>
    <x v="22"/>
    <x v="0"/>
    <x v="3"/>
    <s v="Hoàn thành"/>
    <s v="Khứ hồi"/>
  </r>
  <r>
    <n v="26"/>
    <x v="0"/>
    <x v="23"/>
    <m/>
    <n v="55000"/>
    <n v="-55000"/>
    <s v=""/>
    <x v="23"/>
    <x v="0"/>
    <x v="1"/>
    <s v="Hoàn thành"/>
    <s v="Phúc Long"/>
  </r>
  <r>
    <n v="27"/>
    <x v="1"/>
    <x v="24"/>
    <m/>
    <n v="500000"/>
    <n v="500000"/>
    <s v=""/>
    <x v="24"/>
    <x v="0"/>
    <x v="2"/>
    <s v="Hoàn thành"/>
    <s v="Trà đá"/>
  </r>
  <r>
    <n v="29"/>
    <x v="0"/>
    <x v="25"/>
    <m/>
    <n v="350000"/>
    <n v="-350000"/>
    <s v=""/>
    <x v="25"/>
    <x v="0"/>
    <x v="1"/>
    <s v="Hoàn thành"/>
    <s v="Ra Nội Bài"/>
  </r>
  <r>
    <n v="30"/>
    <x v="1"/>
    <x v="26"/>
    <m/>
    <n v="22000000"/>
    <n v="22000000"/>
    <s v=""/>
    <x v="26"/>
    <x v="0"/>
    <x v="3"/>
    <s v="Hoàn thành"/>
    <s v="Lương chính thức"/>
  </r>
  <r>
    <n v="31"/>
    <x v="0"/>
    <x v="27"/>
    <m/>
    <n v="2000000"/>
    <n v="-2000000"/>
    <s v=""/>
    <x v="27"/>
    <x v="0"/>
    <x v="2"/>
    <s v="Hoàn thành"/>
    <s v="Mùng 1 Tết"/>
  </r>
  <r>
    <n v="32"/>
    <x v="0"/>
    <x v="28"/>
    <m/>
    <n v="5000000"/>
    <n v="-5000000"/>
    <s v="Chi tiêu lớn"/>
    <x v="28"/>
    <x v="1"/>
    <x v="2"/>
    <s v="Hoàn thành"/>
    <s v="Mùng 2 Tết"/>
  </r>
  <r>
    <n v="33"/>
    <x v="0"/>
    <x v="29"/>
    <m/>
    <n v="15000000"/>
    <n v="-15000000"/>
    <s v="Chi tiêu lớn"/>
    <x v="29"/>
    <x v="2"/>
    <x v="2"/>
    <s v="Hoàn thành"/>
    <s v="Họ hàng"/>
  </r>
  <r>
    <n v="34"/>
    <x v="1"/>
    <x v="30"/>
    <m/>
    <n v="3000000"/>
    <n v="3000000"/>
    <s v=""/>
    <x v="30"/>
    <x v="10"/>
    <x v="1"/>
    <s v="Hoàn thành"/>
    <s v="Tổng kết Tết"/>
  </r>
  <r>
    <n v="35"/>
    <x v="0"/>
    <x v="31"/>
    <m/>
    <n v="200000"/>
    <n v="-200000"/>
    <s v=""/>
    <x v="31"/>
    <x v="3"/>
    <x v="2"/>
    <s v="Hoàn thành"/>
    <s v="Công đức"/>
  </r>
  <r>
    <n v="36"/>
    <x v="0"/>
    <x v="32"/>
    <m/>
    <n v="90000"/>
    <n v="-90000"/>
    <s v=""/>
    <x v="32"/>
    <x v="4"/>
    <x v="1"/>
    <s v="Hoàn thành"/>
    <s v="Đồng nghiệp"/>
  </r>
  <r>
    <n v="37"/>
    <x v="0"/>
    <x v="5"/>
    <m/>
    <n v="75000"/>
    <n v="-75000"/>
    <s v=""/>
    <x v="33"/>
    <x v="5"/>
    <x v="2"/>
    <s v="Hoàn thành"/>
    <s v="Đi làm"/>
  </r>
  <r>
    <n v="38"/>
    <x v="1"/>
    <x v="33"/>
    <m/>
    <n v="25000000"/>
    <n v="25000000"/>
    <s v=""/>
    <x v="34"/>
    <x v="6"/>
    <x v="0"/>
    <s v="Hoàn thành"/>
    <s v="Bán bảo hiểm"/>
  </r>
  <r>
    <n v="39"/>
    <x v="0"/>
    <x v="34"/>
    <m/>
    <n v="120000"/>
    <n v="-120000"/>
    <s v=""/>
    <x v="35"/>
    <x v="11"/>
    <x v="1"/>
    <s v="Hoàn thành"/>
    <s v="Lười nấu"/>
  </r>
  <r>
    <n v="40"/>
    <x v="0"/>
    <x v="35"/>
    <s v="Gói tháng"/>
    <n v="600000"/>
    <n v="-600000"/>
    <s v=""/>
    <x v="36"/>
    <x v="7"/>
    <x v="0"/>
    <s v="Hoàn thành"/>
    <s v="California Fitness"/>
  </r>
  <r>
    <n v="41"/>
    <x v="1"/>
    <x v="36"/>
    <s v="Khoán"/>
    <n v="15000000"/>
    <n v="15000000"/>
    <s v=""/>
    <x v="37"/>
    <x v="8"/>
    <x v="3"/>
    <s v="Hoàn thành"/>
    <s v="Cho thuê"/>
  </r>
  <r>
    <n v="42"/>
    <x v="0"/>
    <x v="37"/>
    <m/>
    <n v="50000"/>
    <n v="-50000"/>
    <s v=""/>
    <x v="38"/>
    <x v="9"/>
    <x v="2"/>
    <s v="Hoàn thành"/>
    <s v="Thuê thợ"/>
  </r>
  <r>
    <n v="43"/>
    <x v="0"/>
    <x v="38"/>
    <m/>
    <n v="15000000"/>
    <n v="-15000000"/>
    <s v="Chi tiêu lớn"/>
    <x v="39"/>
    <x v="1"/>
    <x v="0"/>
    <s v="Hoàn thành"/>
    <s v="Trang sức"/>
  </r>
  <r>
    <n v="44"/>
    <x v="0"/>
    <x v="39"/>
    <m/>
    <n v="2000000"/>
    <n v="-2000000"/>
    <s v=""/>
    <x v="40"/>
    <x v="1"/>
    <x v="3"/>
    <s v="Hoàn thành"/>
    <s v="Valentine"/>
  </r>
  <r>
    <n v="45"/>
    <x v="1"/>
    <x v="40"/>
    <m/>
    <n v="8000000"/>
    <n v="8000000"/>
    <s v=""/>
    <x v="41"/>
    <x v="1"/>
    <x v="0"/>
    <s v="Hoàn thành"/>
    <s v="Dự án Q4"/>
  </r>
  <r>
    <n v="46"/>
    <x v="0"/>
    <x v="41"/>
    <m/>
    <n v="12000000"/>
    <n v="-12000000"/>
    <s v="Chi tiêu lớn"/>
    <x v="42"/>
    <x v="1"/>
    <x v="1"/>
    <s v="Hoàn thành"/>
    <s v="Cho bé"/>
  </r>
  <r>
    <n v="47"/>
    <x v="0"/>
    <x v="42"/>
    <m/>
    <n v="100000"/>
    <n v="-100000"/>
    <s v=""/>
    <x v="43"/>
    <x v="1"/>
    <x v="1"/>
    <s v="Hoàn thành"/>
    <s v="Viettel"/>
  </r>
  <r>
    <n v="48"/>
    <x v="0"/>
    <x v="43"/>
    <m/>
    <n v="180000"/>
    <n v="-180000"/>
    <s v=""/>
    <x v="44"/>
    <x v="1"/>
    <x v="2"/>
    <s v="Hoàn thành"/>
    <s v="Chăn bông"/>
  </r>
  <r>
    <n v="49"/>
    <x v="1"/>
    <x v="44"/>
    <m/>
    <n v="15000000"/>
    <n v="15000000"/>
    <s v=""/>
    <x v="45"/>
    <x v="1"/>
    <x v="0"/>
    <s v="Hoàn thành"/>
    <s v="Chốt lời"/>
  </r>
  <r>
    <n v="51"/>
    <x v="0"/>
    <x v="45"/>
    <m/>
    <n v="350000"/>
    <n v="-350000"/>
    <s v=""/>
    <x v="46"/>
    <x v="1"/>
    <x v="0"/>
    <s v="Hoàn thành"/>
    <s v="Dùng cho công việc"/>
  </r>
  <r>
    <n v="52"/>
    <x v="1"/>
    <x v="46"/>
    <m/>
    <n v="5000000"/>
    <n v="5000000"/>
    <s v=""/>
    <x v="47"/>
    <x v="1"/>
    <x v="3"/>
    <s v="Hoàn thành"/>
    <s v="Khách hàng thanh toán"/>
  </r>
  <r>
    <n v="53"/>
    <x v="0"/>
    <x v="47"/>
    <m/>
    <n v="120000"/>
    <n v="-120000"/>
    <s v=""/>
    <x v="48"/>
    <x v="1"/>
    <x v="2"/>
    <s v="Hoàn thành"/>
    <s v="Sửa lỗi chính tả trạng thái"/>
  </r>
  <r>
    <n v="55"/>
    <x v="1"/>
    <x v="48"/>
    <m/>
    <n v="18000000"/>
    <n v="18000000"/>
    <s v=""/>
    <x v="49"/>
    <x v="1"/>
    <x v="3"/>
    <s v="Hoàn thành"/>
    <s v="Mã VPB"/>
  </r>
  <r>
    <n v="56"/>
    <x v="0"/>
    <x v="49"/>
    <m/>
    <n v="85000"/>
    <n v="-85000"/>
    <s v=""/>
    <x v="50"/>
    <x v="1"/>
    <x v="1"/>
    <s v="Hoàn thành"/>
    <s v="Gặp bạn cũ"/>
  </r>
  <r>
    <n v="57"/>
    <x v="0"/>
    <x v="50"/>
    <s v="Lazada"/>
    <n v="540000"/>
    <n v="-540000"/>
    <s v=""/>
    <x v="51"/>
    <x v="1"/>
    <x v="0"/>
    <s v="Hoàn thành"/>
    <s v="Đồ gia dụng"/>
  </r>
  <r>
    <n v="58"/>
    <x v="0"/>
    <x v="51"/>
    <m/>
    <n v="18000000"/>
    <n v="-18000000"/>
    <s v="Chi tiêu lớn"/>
    <x v="52"/>
    <x v="1"/>
    <x v="1"/>
    <s v="Hoàn thành"/>
    <s v="Hóa đơn tháng 2"/>
  </r>
  <r>
    <n v="59"/>
    <x v="1"/>
    <x v="52"/>
    <m/>
    <n v="30000"/>
    <n v="30000"/>
    <s v=""/>
    <x v="53"/>
    <x v="0"/>
    <x v="1"/>
    <s v="Hoàn thành"/>
    <s v="Cuốc xe bị huỷ"/>
  </r>
  <r>
    <n v="60"/>
    <x v="0"/>
    <x v="53"/>
    <m/>
    <n v="4000000"/>
    <n v="-4000000"/>
    <s v="Chi tiêu lớn"/>
    <x v="54"/>
    <x v="1"/>
    <x v="3"/>
    <s v="Hoàn thành"/>
    <s v="Trung tâm ILA"/>
  </r>
  <r>
    <n v="61"/>
    <x v="0"/>
    <x v="54"/>
    <s v="Pizza"/>
    <n v="450000"/>
    <n v="-450000"/>
    <s v=""/>
    <x v="55"/>
    <x v="2"/>
    <x v="0"/>
    <s v="Hoàn thành"/>
    <s v="Liên hoan gia đình"/>
  </r>
  <r>
    <n v="62"/>
    <x v="1"/>
    <x v="55"/>
    <m/>
    <n v="25000000"/>
    <n v="25000000"/>
    <s v=""/>
    <x v="56"/>
    <x v="10"/>
    <x v="3"/>
    <s v="Hoàn thành"/>
    <s v="Lương cứng"/>
  </r>
  <r>
    <n v="63"/>
    <x v="0"/>
    <x v="56"/>
    <m/>
    <n v="210000"/>
    <n v="-210000"/>
    <s v=""/>
    <x v="57"/>
    <x v="3"/>
    <x v="2"/>
    <s v="Hoàn thành"/>
    <s v="Vitamin C + khẩu trang"/>
  </r>
  <r>
    <n v="64"/>
    <x v="0"/>
    <x v="57"/>
    <m/>
    <n v="90000"/>
    <n v="-90000"/>
    <s v=""/>
    <x v="58"/>
    <x v="4"/>
    <x v="2"/>
    <s v="Hoàn thành"/>
    <s v="Xăng tăng giá"/>
  </r>
  <r>
    <n v="66"/>
    <x v="1"/>
    <x v="58"/>
    <m/>
    <n v="85000000"/>
    <n v="85000000"/>
    <s v=""/>
    <x v="59"/>
    <x v="6"/>
    <x v="2"/>
    <s v="Hoàn thành"/>
    <s v="Sony A6000"/>
  </r>
  <r>
    <n v="67"/>
    <x v="0"/>
    <x v="59"/>
    <m/>
    <n v="180000"/>
    <n v="-180000"/>
    <s v=""/>
    <x v="60"/>
    <x v="11"/>
    <x v="1"/>
    <s v="Hoàn thành"/>
    <s v="CGV Cinema"/>
  </r>
  <r>
    <n v="68"/>
    <x v="0"/>
    <x v="23"/>
    <m/>
    <n v="65000"/>
    <n v="-65000"/>
    <s v=""/>
    <x v="61"/>
    <x v="7"/>
    <x v="1"/>
    <s v="Hoàn thành"/>
    <s v="Gong Cha"/>
  </r>
  <r>
    <n v="69"/>
    <x v="0"/>
    <x v="60"/>
    <m/>
    <n v="12000000"/>
    <n v="-12000000"/>
    <s v="Chi tiêu lớn"/>
    <x v="62"/>
    <x v="8"/>
    <x v="0"/>
    <s v="Hoàn thành"/>
    <s v="Lotte Mart"/>
  </r>
  <r>
    <n v="70"/>
    <x v="1"/>
    <x v="61"/>
    <m/>
    <n v="2000000"/>
    <n v="2000000"/>
    <s v=""/>
    <x v="63"/>
    <x v="9"/>
    <x v="1"/>
    <s v="Hoàn thành"/>
    <s v="Hoàn thành dự án sớm"/>
  </r>
  <r>
    <n v="71"/>
    <x v="0"/>
    <x v="62"/>
    <m/>
    <n v="15000000"/>
    <n v="-15000000"/>
    <s v="Chi tiêu lớn"/>
    <x v="64"/>
    <x v="2"/>
    <x v="3"/>
    <s v="Hoàn thành"/>
    <s v="Thay SSD"/>
  </r>
  <r>
    <n v="72"/>
    <x v="0"/>
    <x v="63"/>
    <m/>
    <n v="500000"/>
    <n v="-500000"/>
    <s v=""/>
    <x v="65"/>
    <x v="2"/>
    <x v="2"/>
    <s v="Hoàn thành"/>
    <s v="Tiệc Adora"/>
  </r>
  <r>
    <n v="73"/>
    <x v="0"/>
    <x v="64"/>
    <m/>
    <n v="320000"/>
    <n v="-320000"/>
    <s v=""/>
    <x v="66"/>
    <x v="2"/>
    <x v="0"/>
    <s v="Hoàn thành"/>
    <s v="Thịt bò + rau"/>
  </r>
  <r>
    <n v="75"/>
    <x v="0"/>
    <x v="65"/>
    <m/>
    <n v="200000"/>
    <n v="-200000"/>
    <s v=""/>
    <x v="67"/>
    <x v="2"/>
    <x v="2"/>
    <s v="Hoàn thành"/>
    <s v="Chung cư"/>
  </r>
  <r>
    <n v="76"/>
    <x v="0"/>
    <x v="66"/>
    <m/>
    <n v="79000"/>
    <n v="-79000"/>
    <s v=""/>
    <x v="68"/>
    <x v="2"/>
    <x v="0"/>
    <s v="Hoàn thành"/>
    <s v="Gói cá nhân"/>
  </r>
  <r>
    <n v="77"/>
    <x v="0"/>
    <x v="67"/>
    <m/>
    <n v="350000"/>
    <n v="-350000"/>
    <s v=""/>
    <x v="69"/>
    <x v="2"/>
    <x v="2"/>
    <s v="Hoàn thành"/>
    <s v="Kichi Kichi"/>
  </r>
  <r>
    <n v="78"/>
    <x v="1"/>
    <x v="68"/>
    <m/>
    <n v="3000000"/>
    <n v="3000000"/>
    <s v=""/>
    <x v="70"/>
    <x v="2"/>
    <x v="3"/>
    <s v="Hoàn thành"/>
    <s v="10 bài blog"/>
  </r>
  <r>
    <n v="79"/>
    <x v="0"/>
    <x v="69"/>
    <m/>
    <n v="18000000"/>
    <n v="-18000000"/>
    <s v="Chi tiêu lớn"/>
    <x v="71"/>
    <x v="2"/>
    <x v="0"/>
    <s v="Hoàn thành"/>
    <s v="Nike Pegasus"/>
  </r>
  <r>
    <n v="80"/>
    <x v="0"/>
    <x v="70"/>
    <m/>
    <n v="600000"/>
    <n v="-600000"/>
    <s v=""/>
    <x v="72"/>
    <x v="2"/>
    <x v="3"/>
    <s v="Hoàn thành"/>
    <s v="Lấy cao răng"/>
  </r>
  <r>
    <n v="81"/>
    <x v="0"/>
    <x v="71"/>
    <m/>
    <n v="55000"/>
    <n v="-55000"/>
    <s v=""/>
    <x v="73"/>
    <x v="2"/>
    <x v="1"/>
    <s v="Hoàn thành"/>
    <s v="The Coffee House"/>
  </r>
  <r>
    <n v="82"/>
    <x v="1"/>
    <x v="72"/>
    <m/>
    <n v="450000"/>
    <n v="450000"/>
    <s v=""/>
    <x v="74"/>
    <x v="2"/>
    <x v="0"/>
    <s v="Hoàn thành"/>
    <s v="Gửi góp"/>
  </r>
  <r>
    <n v="83"/>
    <x v="0"/>
    <x v="73"/>
    <m/>
    <n v="150000"/>
    <n v="-150000"/>
    <s v=""/>
    <x v="75"/>
    <x v="2"/>
    <x v="2"/>
    <s v="Hoàn thành"/>
    <s v="Đóng tại nhà"/>
  </r>
  <r>
    <n v="84"/>
    <x v="0"/>
    <x v="74"/>
    <m/>
    <n v="850000"/>
    <n v="-850000"/>
    <s v=""/>
    <x v="76"/>
    <x v="2"/>
    <x v="0"/>
    <s v="Hoàn thành"/>
    <s v="Kem chống nắng"/>
  </r>
  <r>
    <n v="85"/>
    <x v="0"/>
    <x v="75"/>
    <m/>
    <n v="35000"/>
    <n v="-35000"/>
    <s v=""/>
    <x v="77"/>
    <x v="2"/>
    <x v="1"/>
    <s v="Hoàn thành"/>
    <s v="Đi làm trễ"/>
  </r>
  <r>
    <n v="86"/>
    <x v="1"/>
    <x v="76"/>
    <m/>
    <n v="52000000"/>
    <n v="52000000"/>
    <s v=""/>
    <x v="78"/>
    <x v="2"/>
    <x v="3"/>
    <s v="Hoàn thành"/>
    <s v="Quyết toán 2025"/>
  </r>
  <r>
    <n v="87"/>
    <x v="0"/>
    <x v="77"/>
    <m/>
    <n v="700000"/>
    <n v="-700000"/>
    <s v=""/>
    <x v="79"/>
    <x v="2"/>
    <x v="2"/>
    <s v="Hoàn thành"/>
    <s v="Lẩu dê"/>
  </r>
  <r>
    <n v="88"/>
    <x v="0"/>
    <x v="78"/>
    <m/>
    <n v="275000"/>
    <n v="-275000"/>
    <s v=""/>
    <x v="80"/>
    <x v="2"/>
    <x v="1"/>
    <s v="Hoàn thành"/>
    <s v="Viettel"/>
  </r>
  <r>
    <n v="89"/>
    <x v="1"/>
    <x v="79"/>
    <m/>
    <n v="25000000"/>
    <n v="25000000"/>
    <s v=""/>
    <x v="81"/>
    <x v="2"/>
    <x v="3"/>
    <s v="Hoàn thành"/>
    <s v="Lương đúng hạn"/>
  </r>
  <r>
    <n v="90"/>
    <x v="0"/>
    <x v="80"/>
    <m/>
    <n v="5000000"/>
    <n v="-5000000"/>
    <s v="Chi tiêu lớn"/>
    <x v="82"/>
    <x v="0"/>
    <x v="0"/>
    <s v="Hoàn thành"/>
    <s v="KS + vé"/>
  </r>
  <r>
    <n v="91"/>
    <x v="0"/>
    <x v="81"/>
    <m/>
    <n v="25000000"/>
    <n v="-25000000"/>
    <s v="Chi tiêu lớn"/>
    <x v="83"/>
    <x v="1"/>
    <x v="2"/>
    <s v="Hoàn thành"/>
    <s v="Chợ đêm"/>
  </r>
  <r>
    <n v="92"/>
    <x v="1"/>
    <x v="82"/>
    <m/>
    <n v="500000"/>
    <n v="500000"/>
    <s v=""/>
    <x v="84"/>
    <x v="2"/>
    <x v="2"/>
    <s v="Hoàn thành"/>
    <s v="Trong áo cũ"/>
  </r>
  <r>
    <n v="93"/>
    <x v="0"/>
    <x v="83"/>
    <m/>
    <n v="180000"/>
    <n v="-180000"/>
    <s v=""/>
    <x v="85"/>
    <x v="10"/>
    <x v="1"/>
    <s v="Hoàn thành"/>
    <s v="Sầu riêng"/>
  </r>
  <r>
    <n v="94"/>
    <x v="0"/>
    <x v="84"/>
    <m/>
    <n v="420000"/>
    <n v="-420000"/>
    <s v=""/>
    <x v="86"/>
    <x v="3"/>
    <x v="0"/>
    <s v="Hoàn thành"/>
    <s v="Lego"/>
  </r>
  <r>
    <n v="95"/>
    <x v="1"/>
    <x v="85"/>
    <m/>
    <n v="78000000"/>
    <n v="78000000"/>
    <s v=""/>
    <x v="87"/>
    <x v="4"/>
    <x v="2"/>
    <s v="Hoàn thành"/>
    <s v="1 chỉ vàng"/>
  </r>
  <r>
    <n v="96"/>
    <x v="0"/>
    <x v="86"/>
    <m/>
    <n v="650000"/>
    <n v="-650000"/>
    <s v=""/>
    <x v="88"/>
    <x v="5"/>
    <x v="2"/>
    <s v="Hoàn thành"/>
    <s v="Bơm gas"/>
  </r>
  <r>
    <n v="97"/>
    <x v="0"/>
    <x v="87"/>
    <m/>
    <n v="11000"/>
    <n v="-11000"/>
    <s v=""/>
    <x v="89"/>
    <x v="6"/>
    <x v="0"/>
    <s v="Hoàn thành"/>
    <s v="Trừ tự động"/>
  </r>
  <r>
    <n v="98"/>
    <x v="0"/>
    <x v="88"/>
    <m/>
    <n v="12000000"/>
    <n v="-12000000"/>
    <s v="Chi tiêu lớn"/>
    <x v="90"/>
    <x v="11"/>
    <x v="0"/>
    <s v="Hoàn thành"/>
    <s v="Uniqlo"/>
  </r>
  <r>
    <n v="99"/>
    <x v="1"/>
    <x v="89"/>
    <m/>
    <n v="20000000"/>
    <n v="20000000"/>
    <s v=""/>
    <x v="91"/>
    <x v="7"/>
    <x v="3"/>
    <s v="Hoàn thành"/>
    <s v="Kèo đầu năm"/>
  </r>
  <r>
    <n v="100"/>
    <x v="0"/>
    <x v="90"/>
    <m/>
    <n v="15000000"/>
    <n v="-15000000"/>
    <s v="Chi tiêu lớn"/>
    <x v="92"/>
    <x v="8"/>
    <x v="3"/>
    <s v="Hoàn thành"/>
    <s v="Khao cả nhà"/>
  </r>
  <r>
    <n v="101"/>
    <x v="0"/>
    <x v="91"/>
    <m/>
    <n v="450000"/>
    <n v="-450000"/>
    <s v=""/>
    <x v="93"/>
    <x v="9"/>
    <x v="2"/>
    <s v="Hoàn thành"/>
    <s v="Đóng tại trạm"/>
  </r>
  <r>
    <n v="102"/>
    <x v="1"/>
    <x v="92"/>
    <m/>
    <n v="12000000"/>
    <n v="12000000"/>
    <s v=""/>
    <x v="94"/>
    <x v="10"/>
    <x v="3"/>
    <s v="Hoàn thành"/>
    <s v="Nhận CK"/>
  </r>
  <r>
    <n v="103"/>
    <x v="0"/>
    <x v="93"/>
    <m/>
    <n v="25000000"/>
    <n v="-25000000"/>
    <s v="Chi tiêu lớn"/>
    <x v="95"/>
    <x v="10"/>
    <x v="0"/>
    <s v="Hoàn thành"/>
    <s v="Mùa nóng"/>
  </r>
  <r>
    <n v="104"/>
    <x v="0"/>
    <x v="94"/>
    <m/>
    <n v="75000"/>
    <n v="-75000"/>
    <s v=""/>
    <x v="96"/>
    <x v="10"/>
    <x v="1"/>
    <s v="Hoàn thành"/>
    <s v="Bánh mì + bạc xỉu"/>
  </r>
  <r>
    <n v="105"/>
    <x v="1"/>
    <x v="95"/>
    <m/>
    <n v="300000"/>
    <n v="300000"/>
    <s v=""/>
    <x v="97"/>
    <x v="10"/>
    <x v="0"/>
    <s v="Hoàn thành"/>
    <s v="Lỗi phí"/>
  </r>
  <r>
    <n v="106"/>
    <x v="0"/>
    <x v="96"/>
    <m/>
    <n v="15000000"/>
    <n v="-15000000"/>
    <s v="Chi tiêu lớn"/>
    <x v="98"/>
    <x v="10"/>
    <x v="2"/>
    <s v="Hoàn thành"/>
    <s v="Toán + Văn"/>
  </r>
  <r>
    <n v="107"/>
    <x v="0"/>
    <x v="97"/>
    <m/>
    <n v="600000"/>
    <n v="-600000"/>
    <s v=""/>
    <x v="99"/>
    <x v="10"/>
    <x v="1"/>
    <s v="Hoàn thành"/>
    <s v="Tranh treo"/>
  </r>
  <r>
    <n v="108"/>
    <x v="0"/>
    <x v="98"/>
    <m/>
    <n v="21000000"/>
    <n v="-21000000"/>
    <s v="Chi tiêu lớn"/>
    <x v="100"/>
    <x v="10"/>
    <x v="0"/>
    <s v="Hoàn thành"/>
    <s v="Dùng điều hòa"/>
  </r>
  <r>
    <n v="109"/>
    <x v="1"/>
    <x v="99"/>
    <m/>
    <n v="45000000"/>
    <n v="45000000"/>
    <s v=""/>
    <x v="101"/>
    <x v="10"/>
    <x v="3"/>
    <s v="Hoàn thành"/>
    <s v="Tài liệu kỹ thuật"/>
  </r>
  <r>
    <n v="110"/>
    <x v="0"/>
    <x v="100"/>
    <m/>
    <n v="350000"/>
    <n v="-350000"/>
    <s v=""/>
    <x v="102"/>
    <x v="10"/>
    <x v="2"/>
    <s v="Hoàn thành"/>
    <s v="Thay lõi"/>
  </r>
  <r>
    <n v="111"/>
    <x v="0"/>
    <x v="101"/>
    <m/>
    <n v="950000"/>
    <n v="-950000"/>
    <s v=""/>
    <x v="103"/>
    <x v="10"/>
    <x v="0"/>
    <s v="Hoàn thành"/>
    <s v="Co.op Mart"/>
  </r>
  <r>
    <n v="112"/>
    <x v="1"/>
    <x v="72"/>
    <m/>
    <n v="200000"/>
    <n v="200000"/>
    <s v=""/>
    <x v="104"/>
    <x v="10"/>
    <x v="3"/>
    <s v="Hoàn thành"/>
    <s v="1 tháng"/>
  </r>
  <r>
    <n v="113"/>
    <x v="0"/>
    <x v="102"/>
    <m/>
    <n v="11000000"/>
    <n v="-11000000"/>
    <s v="Chi tiêu lớn"/>
    <x v="105"/>
    <x v="10"/>
    <x v="1"/>
    <s v="Hoàn thành"/>
    <s v="Lining"/>
  </r>
  <r>
    <n v="114"/>
    <x v="0"/>
    <x v="103"/>
    <m/>
    <n v="150000"/>
    <n v="-150000"/>
    <s v=""/>
    <x v="106"/>
    <x v="10"/>
    <x v="2"/>
    <s v="Hoàn thành"/>
    <s v="Grab Car"/>
  </r>
  <r>
    <n v="115"/>
    <x v="0"/>
    <x v="104"/>
    <m/>
    <n v="200000"/>
    <n v="-200000"/>
    <s v=""/>
    <x v="107"/>
    <x v="10"/>
    <x v="1"/>
    <s v="Hoàn thành"/>
    <s v="Liên hoan"/>
  </r>
  <r>
    <n v="116"/>
    <x v="1"/>
    <x v="105"/>
    <m/>
    <n v="15000000"/>
    <n v="15000000"/>
    <s v=""/>
    <x v="108"/>
    <x v="10"/>
    <x v="2"/>
    <s v="Hoàn thành"/>
    <s v="Loa BT"/>
  </r>
  <r>
    <n v="117"/>
    <x v="0"/>
    <x v="106"/>
    <m/>
    <n v="12000000"/>
    <n v="-12000000"/>
    <s v="Chi tiêu lớn"/>
    <x v="109"/>
    <x v="10"/>
    <x v="0"/>
    <s v="Hoàn thành"/>
    <s v="Chia bill"/>
  </r>
  <r>
    <n v="119"/>
    <x v="1"/>
    <x v="107"/>
    <m/>
    <n v="2000000"/>
    <n v="2000000"/>
    <s v=""/>
    <x v="110"/>
    <x v="10"/>
    <x v="3"/>
    <s v="Hoàn thành"/>
    <s v="Thưởng công ty"/>
  </r>
  <r>
    <n v="120"/>
    <x v="0"/>
    <x v="108"/>
    <m/>
    <n v="45000000"/>
    <n v="-45000000"/>
    <s v="Chi tiêu lớn"/>
    <x v="111"/>
    <x v="0"/>
    <x v="2"/>
    <s v="Hoàn thành"/>
    <s v="KS + ăn uống"/>
  </r>
  <r>
    <n v="121"/>
    <x v="0"/>
    <x v="109"/>
    <m/>
    <n v="300000"/>
    <n v="-300000"/>
    <s v=""/>
    <x v="112"/>
    <x v="1"/>
    <x v="2"/>
    <s v="Hoàn thành"/>
    <s v="Đi lại"/>
  </r>
  <r>
    <n v="122"/>
    <x v="1"/>
    <x v="110"/>
    <m/>
    <n v="25000000"/>
    <n v="25000000"/>
    <s v=""/>
    <x v="113"/>
    <x v="2"/>
    <x v="3"/>
    <s v="Hoàn thành"/>
    <s v="Lương chính"/>
  </r>
  <r>
    <n v="123"/>
    <x v="0"/>
    <x v="111"/>
    <m/>
    <n v="120000"/>
    <n v="-120000"/>
    <s v=""/>
    <x v="114"/>
    <x v="10"/>
    <x v="1"/>
    <s v="Hoàn thành"/>
    <s v="Xoài + mít"/>
  </r>
  <r>
    <n v="124"/>
    <x v="0"/>
    <x v="112"/>
    <m/>
    <n v="200000"/>
    <n v="-200000"/>
    <s v=""/>
    <x v="115"/>
    <x v="3"/>
    <x v="1"/>
    <s v="Hoàn thành"/>
    <s v="Viettel"/>
  </r>
  <r>
    <n v="125"/>
    <x v="1"/>
    <x v="113"/>
    <m/>
    <n v="6000000"/>
    <n v="6000000"/>
    <s v=""/>
    <x v="116"/>
    <x v="4"/>
    <x v="3"/>
    <s v="Hoàn thành"/>
    <s v="Logo startup"/>
  </r>
  <r>
    <n v="126"/>
    <x v="0"/>
    <x v="114"/>
    <m/>
    <n v="38000000"/>
    <n v="-38000000"/>
    <s v="Chi tiêu lớn"/>
    <x v="117"/>
    <x v="5"/>
    <x v="0"/>
    <s v="Hoàn thành"/>
    <s v="Thay dầu"/>
  </r>
  <r>
    <n v="127"/>
    <x v="0"/>
    <x v="115"/>
    <m/>
    <n v="900000"/>
    <n v="-900000"/>
    <s v=""/>
    <x v="118"/>
    <x v="6"/>
    <x v="2"/>
    <s v="Hoàn thành"/>
    <s v="Lẩu bò"/>
  </r>
  <r>
    <n v="128"/>
    <x v="0"/>
    <x v="116"/>
    <m/>
    <n v="14000000"/>
    <n v="-14000000"/>
    <s v="Chi tiêu lớn"/>
    <x v="119"/>
    <x v="11"/>
    <x v="0"/>
    <s v="Hoàn thành"/>
    <s v="Philips"/>
  </r>
  <r>
    <n v="129"/>
    <x v="1"/>
    <x v="117"/>
    <m/>
    <n v="150000"/>
    <n v="150000"/>
    <s v=""/>
    <x v="120"/>
    <x v="7"/>
    <x v="1"/>
    <s v="Hoàn thành"/>
    <s v="Hàng lỗi"/>
  </r>
  <r>
    <n v="130"/>
    <x v="0"/>
    <x v="118"/>
    <m/>
    <n v="40000"/>
    <n v="-40000"/>
    <s v=""/>
    <x v="121"/>
    <x v="8"/>
    <x v="2"/>
    <s v="Hoàn thành"/>
    <s v="Xe máy"/>
  </r>
  <r>
    <n v="131"/>
    <x v="0"/>
    <x v="74"/>
    <m/>
    <n v="700000"/>
    <n v="-700000"/>
    <s v=""/>
    <x v="122"/>
    <x v="9"/>
    <x v="0"/>
    <s v="Hoàn thành"/>
    <s v="Skincare"/>
  </r>
  <r>
    <n v="132"/>
    <x v="1"/>
    <x v="119"/>
    <m/>
    <n v="2000000"/>
    <n v="2000000"/>
    <s v=""/>
    <x v="123"/>
    <x v="3"/>
    <x v="0"/>
    <s v="Hoàn thành"/>
    <s v="Nợ cũ"/>
  </r>
  <r>
    <n v="133"/>
    <x v="0"/>
    <x v="120"/>
    <m/>
    <n v="500000"/>
    <n v="-500000"/>
    <s v=""/>
    <x v="124"/>
    <x v="3"/>
    <x v="3"/>
    <s v="Hoàn thành"/>
    <s v="Gia hạn"/>
  </r>
  <r>
    <n v="134"/>
    <x v="0"/>
    <x v="121"/>
    <m/>
    <n v="130000"/>
    <n v="-130000"/>
    <s v=""/>
    <x v="125"/>
    <x v="3"/>
    <x v="1"/>
    <s v="Hoàn thành"/>
    <s v="Starbucks"/>
  </r>
  <r>
    <n v="135"/>
    <x v="0"/>
    <x v="84"/>
    <m/>
    <n v="250000"/>
    <n v="-250000"/>
    <s v=""/>
    <x v="126"/>
    <x v="3"/>
    <x v="2"/>
    <s v="Hoàn thành"/>
    <s v="Cát"/>
  </r>
  <r>
    <n v="136"/>
    <x v="1"/>
    <x v="122"/>
    <m/>
    <n v="80000"/>
    <n v="80000"/>
    <s v=""/>
    <x v="127"/>
    <x v="3"/>
    <x v="2"/>
    <s v="Hoàn thành"/>
    <s v="Giấy + chai"/>
  </r>
  <r>
    <n v="137"/>
    <x v="0"/>
    <x v="123"/>
    <m/>
    <n v="11000000"/>
    <n v="-11000000"/>
    <s v="Chi tiêu lớn"/>
    <x v="128"/>
    <x v="3"/>
    <x v="0"/>
    <s v="Hoàn thành"/>
    <s v="Dầu cá"/>
  </r>
  <r>
    <n v="138"/>
    <x v="0"/>
    <x v="124"/>
    <m/>
    <n v="100000"/>
    <n v="-100000"/>
    <s v=""/>
    <x v="129"/>
    <x v="3"/>
    <x v="2"/>
    <s v="Hoàn thành"/>
    <s v="Khóa kẹt"/>
  </r>
  <r>
    <n v="139"/>
    <x v="1"/>
    <x v="125"/>
    <m/>
    <n v="12000000"/>
    <n v="12000000"/>
    <s v=""/>
    <x v="130"/>
    <x v="3"/>
    <x v="3"/>
    <s v="Hoàn thành"/>
    <s v="Dự án 2 tuần"/>
  </r>
  <r>
    <n v="140"/>
    <x v="0"/>
    <x v="126"/>
    <m/>
    <n v="300000"/>
    <n v="-300000"/>
    <s v=""/>
    <x v="131"/>
    <x v="3"/>
    <x v="2"/>
    <s v="Hoàn thành"/>
    <s v="Góp quỹ"/>
  </r>
  <r>
    <n v="141"/>
    <x v="0"/>
    <x v="127"/>
    <m/>
    <n v="650000"/>
    <n v="-650000"/>
    <s v=""/>
    <x v="132"/>
    <x v="3"/>
    <x v="0"/>
    <s v="Hoàn thành"/>
    <s v="Em gái"/>
  </r>
  <r>
    <n v="143"/>
    <x v="1"/>
    <x v="48"/>
    <m/>
    <n v="500000"/>
    <n v="500000"/>
    <s v=""/>
    <x v="133"/>
    <x v="3"/>
    <x v="3"/>
    <s v="Hoàn thành"/>
    <s v="CP FPT"/>
  </r>
  <r>
    <n v="144"/>
    <x v="0"/>
    <x v="101"/>
    <m/>
    <n v="13000000"/>
    <n v="-13000000"/>
    <s v="Chi tiêu lớn"/>
    <x v="134"/>
    <x v="3"/>
    <x v="0"/>
    <s v="Hoàn thành"/>
    <s v="Dự trữ"/>
  </r>
  <r>
    <n v="145"/>
    <x v="0"/>
    <x v="128"/>
    <m/>
    <n v="100000"/>
    <n v="-100000"/>
    <s v=""/>
    <x v="135"/>
    <x v="3"/>
    <x v="1"/>
    <s v="Hoàn thành"/>
    <s v="Giải trí"/>
  </r>
  <r>
    <n v="146"/>
    <x v="1"/>
    <x v="129"/>
    <m/>
    <n v="200000"/>
    <n v="200000"/>
    <s v=""/>
    <x v="136"/>
    <x v="3"/>
    <x v="1"/>
    <s v="Hoàn thành"/>
    <s v="Bạn về nước"/>
  </r>
  <r>
    <n v="147"/>
    <x v="0"/>
    <x v="130"/>
    <m/>
    <n v="150000"/>
    <n v="-150000"/>
    <s v=""/>
    <x v="137"/>
    <x v="3"/>
    <x v="2"/>
    <s v="Hoàn thành"/>
    <s v="Đi tiệc"/>
  </r>
  <r>
    <n v="148"/>
    <x v="0"/>
    <x v="131"/>
    <m/>
    <n v="55000"/>
    <n v="-55000"/>
    <s v=""/>
    <x v="138"/>
    <x v="3"/>
    <x v="2"/>
    <s v="Hoàn thành"/>
    <s v="Sinh Từ"/>
  </r>
  <r>
    <n v="149"/>
    <x v="1"/>
    <x v="132"/>
    <m/>
    <n v="25000000"/>
    <n v="25000000"/>
    <s v=""/>
    <x v="139"/>
    <x v="3"/>
    <x v="3"/>
    <s v="Hoàn thành"/>
    <s v="Lương sớm"/>
  </r>
  <r>
    <n v="151"/>
    <x v="1"/>
    <x v="133"/>
    <m/>
    <n v="25000000"/>
    <n v="25000000"/>
    <s v=""/>
    <x v="140"/>
    <x v="0"/>
    <x v="3"/>
    <s v="Hoàn thành"/>
    <s v="Lương đúng hạn"/>
  </r>
  <r>
    <n v="152"/>
    <x v="0"/>
    <x v="134"/>
    <m/>
    <n v="225000000"/>
    <n v="-225000000"/>
    <s v="Chi tiêu lớn"/>
    <x v="141"/>
    <x v="1"/>
    <x v="0"/>
    <s v="Hoàn thành"/>
    <s v="Phục vụ thiết kế"/>
  </r>
  <r>
    <n v="153"/>
    <x v="0"/>
    <x v="135"/>
    <m/>
    <n v="32000000"/>
    <n v="-32000000"/>
    <s v="Chi tiêu lớn"/>
    <x v="142"/>
    <x v="2"/>
    <x v="0"/>
    <s v="Hoàn thành"/>
    <s v="Phụ kiện iPad"/>
  </r>
  <r>
    <n v="154"/>
    <x v="1"/>
    <x v="136"/>
    <m/>
    <n v="450000"/>
    <n v="450000"/>
    <s v=""/>
    <x v="143"/>
    <x v="10"/>
    <x v="1"/>
    <s v="Hoàn thành"/>
    <s v="Thanh lý Facebook"/>
  </r>
  <r>
    <n v="155"/>
    <x v="0"/>
    <x v="137"/>
    <m/>
    <n v="65000"/>
    <n v="-65000"/>
    <s v=""/>
    <x v="144"/>
    <x v="3"/>
    <x v="1"/>
    <s v="Hoàn thành"/>
    <s v="Họp freelance"/>
  </r>
  <r>
    <n v="156"/>
    <x v="0"/>
    <x v="138"/>
    <m/>
    <n v="100000"/>
    <n v="-100000"/>
    <s v=""/>
    <x v="145"/>
    <x v="4"/>
    <x v="2"/>
    <s v="Hoàn thành"/>
    <s v="Xăng tăng"/>
  </r>
  <r>
    <n v="157"/>
    <x v="0"/>
    <x v="139"/>
    <m/>
    <n v="850000"/>
    <n v="-850000"/>
    <s v=""/>
    <x v="146"/>
    <x v="5"/>
    <x v="0"/>
    <s v="Hoàn thành"/>
    <s v="Khao bạn"/>
  </r>
  <r>
    <n v="158"/>
    <x v="1"/>
    <x v="140"/>
    <m/>
    <n v="12000000"/>
    <n v="12000000"/>
    <s v=""/>
    <x v="147"/>
    <x v="6"/>
    <x v="3"/>
    <s v="Hoàn thành"/>
    <s v="TNCN bổ sung"/>
  </r>
  <r>
    <n v="159"/>
    <x v="0"/>
    <x v="42"/>
    <m/>
    <n v="200000"/>
    <n v="-200000"/>
    <s v=""/>
    <x v="148"/>
    <x v="11"/>
    <x v="1"/>
    <s v="Hoàn thành"/>
    <s v="Viettel"/>
  </r>
  <r>
    <n v="160"/>
    <x v="0"/>
    <x v="141"/>
    <m/>
    <n v="340000"/>
    <n v="-340000"/>
    <s v=""/>
    <x v="149"/>
    <x v="7"/>
    <x v="0"/>
    <s v="Hoàn thành"/>
    <s v="Sách tài chính"/>
  </r>
  <r>
    <n v="161"/>
    <x v="0"/>
    <x v="142"/>
    <m/>
    <n v="19000000"/>
    <n v="-19000000"/>
    <s v="Chi tiêu lớn"/>
    <x v="150"/>
    <x v="8"/>
    <x v="0"/>
    <s v="Hoàn thành"/>
    <s v="Hóa đơn hè"/>
  </r>
  <r>
    <n v="162"/>
    <x v="1"/>
    <x v="143"/>
    <m/>
    <n v="150000"/>
    <n v="150000"/>
    <s v=""/>
    <x v="151"/>
    <x v="9"/>
    <x v="3"/>
    <s v="Hoàn thành"/>
    <s v="Lãi tháng"/>
  </r>
  <r>
    <n v="163"/>
    <x v="0"/>
    <x v="35"/>
    <s v="3 tháng"/>
    <n v="15000000"/>
    <n v="-15000000"/>
    <s v="Chi tiêu lớn"/>
    <x v="152"/>
    <x v="4"/>
    <x v="0"/>
    <s v="Hoàn thành"/>
    <s v="Elite Fitness"/>
  </r>
  <r>
    <n v="164"/>
    <x v="0"/>
    <x v="144"/>
    <m/>
    <n v="550000"/>
    <n v="-550000"/>
    <s v=""/>
    <x v="153"/>
    <x v="4"/>
    <x v="2"/>
    <s v="Hoàn thành"/>
    <s v="Sumo BBQ"/>
  </r>
  <r>
    <n v="165"/>
    <x v="0"/>
    <x v="145"/>
    <m/>
    <n v="120000"/>
    <n v="-120000"/>
    <s v=""/>
    <x v="154"/>
    <x v="4"/>
    <x v="1"/>
    <s v="Hoàn thành"/>
    <s v="Trời mưa"/>
  </r>
  <r>
    <n v="166"/>
    <x v="1"/>
    <x v="9"/>
    <m/>
    <n v="15000000"/>
    <n v="15000000"/>
    <s v=""/>
    <x v="155"/>
    <x v="4"/>
    <x v="3"/>
    <s v="Hoàn thành"/>
    <s v="UI/UX"/>
  </r>
  <r>
    <n v="167"/>
    <x v="0"/>
    <x v="146"/>
    <m/>
    <n v="28000000"/>
    <n v="-28000000"/>
    <s v="Chi tiêu lớn"/>
    <x v="156"/>
    <x v="4"/>
    <x v="0"/>
    <s v="Hoàn thành"/>
    <s v="Tự thưởng"/>
  </r>
  <r>
    <n v="168"/>
    <x v="0"/>
    <x v="62"/>
    <m/>
    <n v="600000"/>
    <n v="-600000"/>
    <s v=""/>
    <x v="157"/>
    <x v="4"/>
    <x v="2"/>
    <s v="Hoàn thành"/>
    <s v="Vệ sinh"/>
  </r>
  <r>
    <n v="169"/>
    <x v="0"/>
    <x v="147"/>
    <m/>
    <n v="720000"/>
    <n v="-720000"/>
    <s v=""/>
    <x v="158"/>
    <x v="4"/>
    <x v="1"/>
    <s v="Hoàn thành"/>
    <s v="Gia dụng"/>
  </r>
  <r>
    <n v="170"/>
    <x v="1"/>
    <x v="40"/>
    <m/>
    <n v="5000000"/>
    <n v="5000000"/>
    <s v=""/>
    <x v="159"/>
    <x v="4"/>
    <x v="0"/>
    <s v="Hoàn thành"/>
    <s v="Thưởng Q2"/>
  </r>
  <r>
    <n v="171"/>
    <x v="0"/>
    <x v="59"/>
    <m/>
    <n v="250000"/>
    <n v="-250000"/>
    <s v=""/>
    <x v="160"/>
    <x v="4"/>
    <x v="1"/>
    <s v="Hoàn thành"/>
    <s v="IMAX"/>
  </r>
  <r>
    <n v="172"/>
    <x v="0"/>
    <x v="148"/>
    <m/>
    <n v="65000"/>
    <n v="-65000"/>
    <s v=""/>
    <x v="161"/>
    <x v="4"/>
    <x v="2"/>
    <s v="Hoàn thành"/>
    <s v="Phố cổ"/>
  </r>
  <r>
    <n v="173"/>
    <x v="0"/>
    <x v="149"/>
    <m/>
    <n v="35000000"/>
    <n v="-35000000"/>
    <s v="Chi tiêu lớn"/>
    <x v="162"/>
    <x v="4"/>
    <x v="0"/>
    <s v="Hoàn thành"/>
    <s v="Du lịch"/>
  </r>
  <r>
    <n v="174"/>
    <x v="1"/>
    <x v="44"/>
    <m/>
    <n v="102000000"/>
    <n v="102000000"/>
    <s v=""/>
    <x v="163"/>
    <x v="4"/>
    <x v="3"/>
    <s v="Hoàn thành"/>
    <s v="Chốt lời HPG"/>
  </r>
  <r>
    <n v="175"/>
    <x v="0"/>
    <x v="150"/>
    <m/>
    <n v="12000000"/>
    <n v="-12000000"/>
    <s v="Chi tiêu lớn"/>
    <x v="164"/>
    <x v="4"/>
    <x v="0"/>
    <s v="Hoàn thành"/>
    <s v="Thân vỏ"/>
  </r>
  <r>
    <n v="176"/>
    <x v="0"/>
    <x v="151"/>
    <m/>
    <n v="145000"/>
    <n v="-145000"/>
    <s v=""/>
    <x v="165"/>
    <x v="4"/>
    <x v="1"/>
    <s v="Hoàn thành"/>
    <s v="Làm việc"/>
  </r>
  <r>
    <n v="177"/>
    <x v="0"/>
    <x v="152"/>
    <m/>
    <n v="1000000"/>
    <n v="-1000000"/>
    <s v=""/>
    <x v="166"/>
    <x v="4"/>
    <x v="2"/>
    <s v="Hoàn thành"/>
    <s v="Bạn ĐH"/>
  </r>
  <r>
    <n v="178"/>
    <x v="1"/>
    <x v="68"/>
    <m/>
    <n v="25000000"/>
    <n v="25000000"/>
    <s v=""/>
    <x v="167"/>
    <x v="4"/>
    <x v="1"/>
    <s v="Hoàn thành"/>
    <s v="5 bài PR"/>
  </r>
  <r>
    <n v="179"/>
    <x v="0"/>
    <x v="153"/>
    <m/>
    <n v="42000000"/>
    <n v="-42000000"/>
    <s v="Chi tiêu lớn"/>
    <x v="168"/>
    <x v="4"/>
    <x v="0"/>
    <s v="Hoàn thành"/>
    <s v="Bảo dưỡng"/>
  </r>
  <r>
    <n v="180"/>
    <x v="1"/>
    <x v="133"/>
    <m/>
    <n v="25000000"/>
    <n v="25000000"/>
    <s v=""/>
    <x v="169"/>
    <x v="4"/>
    <x v="3"/>
    <s v="Hoàn thành"/>
    <s v="Lương sớm"/>
  </r>
  <r>
    <n v="182"/>
    <x v="0"/>
    <x v="154"/>
    <m/>
    <n v="25000000"/>
    <n v="-25000000"/>
    <s v="Chi tiêu lớn"/>
    <x v="170"/>
    <x v="1"/>
    <x v="2"/>
    <s v="Hoàn thành"/>
    <s v="Dịch vụ"/>
  </r>
  <r>
    <n v="183"/>
    <x v="1"/>
    <x v="155"/>
    <m/>
    <n v="500000"/>
    <n v="500000"/>
    <s v=""/>
    <x v="171"/>
    <x v="2"/>
    <x v="1"/>
    <s v="Hoàn thành"/>
    <s v="Bạn trả"/>
  </r>
  <r>
    <n v="184"/>
    <x v="0"/>
    <x v="156"/>
    <m/>
    <n v="21000000"/>
    <n v="-21000000"/>
    <s v="Chi tiêu lớn"/>
    <x v="172"/>
    <x v="10"/>
    <x v="0"/>
    <s v="Hoàn thành"/>
    <s v="Samsonite"/>
  </r>
  <r>
    <n v="185"/>
    <x v="0"/>
    <x v="157"/>
    <m/>
    <n v="55000"/>
    <n v="-55000"/>
    <s v=""/>
    <x v="173"/>
    <x v="3"/>
    <x v="2"/>
    <s v="Hoàn thành"/>
    <s v="Lý QS"/>
  </r>
  <r>
    <n v="186"/>
    <x v="1"/>
    <x v="158"/>
    <m/>
    <n v="120000"/>
    <n v="120000"/>
    <s v=""/>
    <x v="174"/>
    <x v="4"/>
    <x v="1"/>
    <s v="Hoàn thành"/>
    <s v="Hàng lỗi"/>
  </r>
  <r>
    <n v="187"/>
    <x v="0"/>
    <x v="159"/>
    <m/>
    <n v="285000"/>
    <n v="-285000"/>
    <s v=""/>
    <x v="175"/>
    <x v="5"/>
    <x v="1"/>
    <s v="Hoàn thành"/>
    <s v="FPT"/>
  </r>
  <r>
    <n v="188"/>
    <x v="0"/>
    <x v="56"/>
    <m/>
    <n v="180000"/>
    <n v="-180000"/>
    <s v=""/>
    <x v="176"/>
    <x v="6"/>
    <x v="2"/>
    <s v="Hoàn thành"/>
    <s v="Long Châu"/>
  </r>
  <r>
    <n v="189"/>
    <x v="1"/>
    <x v="160"/>
    <m/>
    <n v="35000000"/>
    <n v="35000000"/>
    <s v=""/>
    <x v="177"/>
    <x v="11"/>
    <x v="3"/>
    <s v="Hoàn thành"/>
    <s v="Logo mới"/>
  </r>
  <r>
    <n v="190"/>
    <x v="0"/>
    <x v="161"/>
    <m/>
    <n v="14000000"/>
    <n v="-14000000"/>
    <s v="Chi tiêu lớn"/>
    <x v="178"/>
    <x v="7"/>
    <x v="0"/>
    <s v="Hoàn thành"/>
    <s v="Thực phẩm"/>
  </r>
  <r>
    <n v="191"/>
    <x v="0"/>
    <x v="12"/>
    <m/>
    <n v="600000"/>
    <n v="-600000"/>
    <s v=""/>
    <x v="179"/>
    <x v="8"/>
    <x v="2"/>
    <s v="Hoàn thành"/>
    <s v="Haidilao"/>
  </r>
  <r>
    <n v="192"/>
    <x v="1"/>
    <x v="162"/>
    <m/>
    <n v="8000000"/>
    <n v="8000000"/>
    <s v=""/>
    <x v="180"/>
    <x v="9"/>
    <x v="3"/>
    <s v="Hoàn thành"/>
    <s v="Online"/>
  </r>
  <r>
    <n v="193"/>
    <x v="0"/>
    <x v="7"/>
    <m/>
    <n v="12000000"/>
    <n v="-12000000"/>
    <s v="Chi tiêu lớn"/>
    <x v="181"/>
    <x v="5"/>
    <x v="0"/>
    <s v="Hoàn thành"/>
    <s v="SN sếp"/>
  </r>
  <r>
    <n v="194"/>
    <x v="0"/>
    <x v="71"/>
    <m/>
    <n v="55000"/>
    <n v="-55000"/>
    <s v=""/>
    <x v="182"/>
    <x v="5"/>
    <x v="1"/>
    <s v="Hoàn thành"/>
    <s v="TCH"/>
  </r>
  <r>
    <n v="195"/>
    <x v="0"/>
    <x v="86"/>
    <m/>
    <n v="450000"/>
    <n v="-450000"/>
    <s v=""/>
    <x v="183"/>
    <x v="5"/>
    <x v="2"/>
    <s v="Hoàn thành"/>
    <s v="Bơm gas"/>
  </r>
  <r>
    <n v="196"/>
    <x v="1"/>
    <x v="163"/>
    <m/>
    <n v="2000000"/>
    <n v="2000000"/>
    <s v=""/>
    <x v="184"/>
    <x v="5"/>
    <x v="1"/>
    <s v="Hoàn thành"/>
    <s v="Deadline"/>
  </r>
  <r>
    <n v="197"/>
    <x v="0"/>
    <x v="164"/>
    <m/>
    <n v="800000"/>
    <n v="-800000"/>
    <s v=""/>
    <x v="185"/>
    <x v="5"/>
    <x v="0"/>
    <s v="Hoàn thành"/>
    <s v="Adidas"/>
  </r>
  <r>
    <n v="198"/>
    <x v="0"/>
    <x v="131"/>
    <m/>
    <n v="50000"/>
    <n v="-50000"/>
    <s v=""/>
    <x v="186"/>
    <x v="5"/>
    <x v="2"/>
    <s v="Hoàn thành"/>
    <s v="Quán quen"/>
  </r>
  <r>
    <n v="199"/>
    <x v="1"/>
    <x v="165"/>
    <m/>
    <n v="18000000"/>
    <n v="18000000"/>
    <s v=""/>
    <x v="187"/>
    <x v="5"/>
    <x v="2"/>
    <s v="Hoàn thành"/>
    <s v="Đổi tủ"/>
  </r>
  <r>
    <n v="201"/>
    <x v="0"/>
    <x v="166"/>
    <m/>
    <n v="55000000"/>
    <n v="-55000000"/>
    <s v="Chi tiêu lớn"/>
    <x v="188"/>
    <x v="5"/>
    <x v="0"/>
    <s v="Hoàn thành"/>
    <s v="Gói Liberty"/>
  </r>
  <r>
    <n v="202"/>
    <x v="1"/>
    <x v="167"/>
    <m/>
    <n v="3000000"/>
    <n v="3000000"/>
    <s v=""/>
    <x v="189"/>
    <x v="5"/>
    <x v="3"/>
    <s v="Hoàn thành"/>
    <s v="Vượt chỉ tiêu"/>
  </r>
  <r>
    <n v="203"/>
    <x v="0"/>
    <x v="137"/>
    <m/>
    <n v="55000"/>
    <n v="-55000"/>
    <s v=""/>
    <x v="190"/>
    <x v="5"/>
    <x v="1"/>
    <s v="Hoàn thành"/>
    <s v="Họp team"/>
  </r>
  <r>
    <n v="204"/>
    <x v="0"/>
    <x v="5"/>
    <m/>
    <n v="80000"/>
    <n v="-80000"/>
    <s v=""/>
    <x v="191"/>
    <x v="5"/>
    <x v="2"/>
    <s v="Hoàn thành"/>
    <s v="Đầy bình"/>
  </r>
  <r>
    <n v="205"/>
    <x v="1"/>
    <x v="72"/>
    <m/>
    <n v="210000"/>
    <n v="210000"/>
    <s v=""/>
    <x v="192"/>
    <x v="5"/>
    <x v="3"/>
    <s v="Hoàn thành"/>
    <s v="1 tháng"/>
  </r>
  <r>
    <n v="206"/>
    <x v="0"/>
    <x v="147"/>
    <m/>
    <n v="850000"/>
    <n v="-850000"/>
    <s v=""/>
    <x v="193"/>
    <x v="5"/>
    <x v="0"/>
    <s v="Hoàn thành"/>
    <s v="Thực phẩm"/>
  </r>
  <r>
    <n v="208"/>
    <x v="0"/>
    <x v="148"/>
    <m/>
    <n v="60000"/>
    <n v="-60000"/>
    <s v=""/>
    <x v="194"/>
    <x v="5"/>
    <x v="2"/>
    <s v="Hoàn thành"/>
    <s v="Sửa lỗi chính tả"/>
  </r>
  <r>
    <n v="209"/>
    <x v="1"/>
    <x v="168"/>
    <m/>
    <n v="45000"/>
    <n v="45000"/>
    <s v=""/>
    <x v="195"/>
    <x v="5"/>
    <x v="1"/>
    <s v="Hoàn thành"/>
    <s v="Hủy chuyến"/>
  </r>
  <r>
    <n v="210"/>
    <x v="0"/>
    <x v="169"/>
    <m/>
    <n v="150000"/>
    <n v="-150000"/>
    <s v=""/>
    <x v="196"/>
    <x v="5"/>
    <x v="2"/>
    <s v="Hoàn thành"/>
    <s v="Tiệm quen"/>
  </r>
  <r>
    <n v="211"/>
    <x v="1"/>
    <x v="170"/>
    <m/>
    <n v="25000000"/>
    <n v="25000000"/>
    <s v=""/>
    <x v="197"/>
    <x v="5"/>
    <x v="3"/>
    <s v="Hoàn thành"/>
    <s v="Lương chính"/>
  </r>
  <r>
    <n v="212"/>
    <x v="0"/>
    <x v="171"/>
    <m/>
    <n v="8000000"/>
    <n v="-8000000"/>
    <s v="Chi tiêu lớn"/>
    <x v="198"/>
    <x v="0"/>
    <x v="0"/>
    <s v="Hoàn thành"/>
    <s v="Định kỳ"/>
  </r>
  <r>
    <n v="213"/>
    <x v="0"/>
    <x v="172"/>
    <m/>
    <n v="23000000"/>
    <n v="-23000000"/>
    <s v="Chi tiêu lớn"/>
    <x v="199"/>
    <x v="1"/>
    <x v="1"/>
    <s v="Hoàn thành"/>
    <s v="Cao điểm"/>
  </r>
  <r>
    <n v="214"/>
    <x v="1"/>
    <x v="173"/>
    <m/>
    <n v="350000"/>
    <n v="350000"/>
    <s v=""/>
    <x v="200"/>
    <x v="2"/>
    <x v="1"/>
    <s v="Hoàn thành"/>
    <s v="Chợ Tốt"/>
  </r>
  <r>
    <n v="215"/>
    <x v="0"/>
    <x v="174"/>
    <m/>
    <n v="120000"/>
    <n v="-120000"/>
    <s v=""/>
    <x v="201"/>
    <x v="10"/>
    <x v="2"/>
    <s v="Hoàn thành"/>
    <s v="Trái cây"/>
  </r>
  <r>
    <n v="216"/>
    <x v="0"/>
    <x v="151"/>
    <m/>
    <n v="140000"/>
    <n v="-140000"/>
    <s v=""/>
    <x v="202"/>
    <x v="3"/>
    <x v="0"/>
    <s v="Hoàn thành"/>
    <s v="Tiếp KH"/>
  </r>
  <r>
    <n v="217"/>
    <x v="1"/>
    <x v="175"/>
    <m/>
    <n v="5000000"/>
    <n v="5000000"/>
    <s v=""/>
    <x v="203"/>
    <x v="4"/>
    <x v="3"/>
    <s v="Hoàn thành"/>
    <s v="Trước hạn"/>
  </r>
  <r>
    <n v="218"/>
    <x v="0"/>
    <x v="176"/>
    <m/>
    <n v="70000"/>
    <n v="-70000"/>
    <s v=""/>
    <x v="204"/>
    <x v="5"/>
    <x v="2"/>
    <s v="Hoàn thành"/>
    <s v="Ron 95"/>
  </r>
  <r>
    <n v="219"/>
    <x v="0"/>
    <x v="177"/>
    <m/>
    <n v="12000000"/>
    <n v="-12000000"/>
    <s v="Chi tiêu lớn"/>
    <x v="205"/>
    <x v="6"/>
    <x v="0"/>
    <s v="Hoàn thành"/>
    <s v="Cuối tuần"/>
  </r>
  <r>
    <n v="220"/>
    <x v="1"/>
    <x v="178"/>
    <m/>
    <n v="15000000"/>
    <n v="15000000"/>
    <s v=""/>
    <x v="206"/>
    <x v="11"/>
    <x v="3"/>
    <s v="Hoàn thành"/>
    <s v="CP VNM"/>
  </r>
  <r>
    <n v="221"/>
    <x v="0"/>
    <x v="179"/>
    <m/>
    <n v="21000000"/>
    <n v="-21000000"/>
    <s v="Chi tiêu lớn"/>
    <x v="207"/>
    <x v="7"/>
    <x v="0"/>
    <s v="Hoàn thành"/>
    <s v="Du lịch"/>
  </r>
  <r>
    <n v="222"/>
    <x v="0"/>
    <x v="53"/>
    <m/>
    <n v="35000000"/>
    <n v="-35000000"/>
    <s v="Chi tiêu lớn"/>
    <x v="208"/>
    <x v="8"/>
    <x v="3"/>
    <s v="Hoàn thành"/>
    <s v="Kỳ mới"/>
  </r>
  <r>
    <n v="223"/>
    <x v="0"/>
    <x v="144"/>
    <m/>
    <n v="700000"/>
    <n v="-700000"/>
    <s v=""/>
    <x v="209"/>
    <x v="9"/>
    <x v="2"/>
    <s v="Hoàn thành"/>
    <s v="Gogi"/>
  </r>
  <r>
    <n v="224"/>
    <x v="1"/>
    <x v="180"/>
    <m/>
    <n v="250000"/>
    <n v="250000"/>
    <s v=""/>
    <x v="210"/>
    <x v="6"/>
    <x v="1"/>
    <s v="Hoàn thành"/>
    <s v="Hàng lỗi"/>
  </r>
  <r>
    <n v="225"/>
    <x v="0"/>
    <x v="42"/>
    <m/>
    <n v="100000"/>
    <n v="-100000"/>
    <s v=""/>
    <x v="211"/>
    <x v="6"/>
    <x v="1"/>
    <s v="Hoàn thành"/>
    <s v="Mobi"/>
  </r>
  <r>
    <n v="226"/>
    <x v="0"/>
    <x v="181"/>
    <m/>
    <n v="11000"/>
    <n v="-11000"/>
    <s v=""/>
    <x v="212"/>
    <x v="6"/>
    <x v="0"/>
    <s v="Hoàn thành"/>
    <s v="Tự động"/>
  </r>
  <r>
    <n v="227"/>
    <x v="1"/>
    <x v="113"/>
    <m/>
    <n v="4000000"/>
    <n v="4000000"/>
    <s v=""/>
    <x v="213"/>
    <x v="6"/>
    <x v="3"/>
    <s v="Hoàn thành"/>
    <s v="Logo cafe"/>
  </r>
  <r>
    <n v="228"/>
    <x v="0"/>
    <x v="182"/>
    <m/>
    <n v="600000"/>
    <n v="-600000"/>
    <s v=""/>
    <x v="214"/>
    <x v="6"/>
    <x v="0"/>
    <s v="Hoàn thành"/>
    <s v="Đồng nghiệp"/>
  </r>
  <r>
    <n v="229"/>
    <x v="0"/>
    <x v="100"/>
    <m/>
    <n v="250000"/>
    <n v="-250000"/>
    <s v=""/>
    <x v="215"/>
    <x v="6"/>
    <x v="2"/>
    <s v="Hoàn thành"/>
    <s v="Thay lõi"/>
  </r>
  <r>
    <n v="230"/>
    <x v="0"/>
    <x v="183"/>
    <m/>
    <n v="45000"/>
    <n v="-45000"/>
    <s v=""/>
    <x v="216"/>
    <x v="6"/>
    <x v="1"/>
    <s v="Hoàn thành"/>
    <s v="Xe hỏng"/>
  </r>
  <r>
    <n v="231"/>
    <x v="1"/>
    <x v="184"/>
    <s v="đợt 2"/>
    <n v="1000000"/>
    <n v="1000000"/>
    <s v=""/>
    <x v="217"/>
    <x v="6"/>
    <x v="3"/>
    <s v="Hoàn thành"/>
    <s v="Kỳ 2025"/>
  </r>
  <r>
    <n v="232"/>
    <x v="0"/>
    <x v="185"/>
    <m/>
    <n v="275000"/>
    <n v="-275000"/>
    <s v=""/>
    <x v="218"/>
    <x v="6"/>
    <x v="1"/>
    <s v="Hoàn thành"/>
    <s v="Viettel"/>
  </r>
  <r>
    <n v="233"/>
    <x v="0"/>
    <x v="123"/>
    <m/>
    <n v="13000000"/>
    <n v="-13000000"/>
    <s v="Chi tiêu lớn"/>
    <x v="219"/>
    <x v="6"/>
    <x v="0"/>
    <s v="Hoàn thành"/>
    <s v="Vitamin"/>
  </r>
  <r>
    <n v="234"/>
    <x v="0"/>
    <x v="186"/>
    <m/>
    <n v="55000"/>
    <n v="-55000"/>
    <s v=""/>
    <x v="220"/>
    <x v="6"/>
    <x v="2"/>
    <s v="Hoàn thành"/>
    <s v="Quán"/>
  </r>
  <r>
    <n v="235"/>
    <x v="1"/>
    <x v="68"/>
    <m/>
    <n v="2000000"/>
    <n v="2000000"/>
    <s v=""/>
    <x v="221"/>
    <x v="6"/>
    <x v="1"/>
    <s v="Hoàn thành"/>
    <s v="Fanpage"/>
  </r>
  <r>
    <n v="236"/>
    <x v="0"/>
    <x v="77"/>
    <m/>
    <n v="800000"/>
    <n v="-800000"/>
    <s v=""/>
    <x v="222"/>
    <x v="6"/>
    <x v="2"/>
    <s v="Hoàn thành"/>
    <s v="Lẩu dê"/>
  </r>
  <r>
    <n v="237"/>
    <x v="0"/>
    <x v="74"/>
    <m/>
    <n v="550000"/>
    <n v="-550000"/>
    <s v=""/>
    <x v="223"/>
    <x v="6"/>
    <x v="0"/>
    <s v="Hoàn thành"/>
    <s v="Skincare"/>
  </r>
  <r>
    <n v="238"/>
    <x v="1"/>
    <x v="155"/>
    <m/>
    <n v="500000"/>
    <n v="500000"/>
    <s v=""/>
    <x v="224"/>
    <x v="6"/>
    <x v="1"/>
    <s v="Hoàn thành"/>
    <s v="Hàng tháng"/>
  </r>
  <r>
    <n v="239"/>
    <x v="0"/>
    <x v="187"/>
    <m/>
    <n v="11000000"/>
    <n v="-11000000"/>
    <s v="Chi tiêu lớn"/>
    <x v="225"/>
    <x v="6"/>
    <x v="0"/>
    <s v="Hoàn thành"/>
    <s v="Thực phẩm"/>
  </r>
  <r>
    <n v="240"/>
    <x v="0"/>
    <x v="84"/>
    <m/>
    <n v="320000"/>
    <n v="-320000"/>
    <s v=""/>
    <x v="226"/>
    <x v="6"/>
    <x v="2"/>
    <s v="Hoàn thành"/>
    <s v="Xếp hình"/>
  </r>
  <r>
    <n v="241"/>
    <x v="1"/>
    <x v="188"/>
    <m/>
    <n v="25000000"/>
    <n v="25000000"/>
    <s v=""/>
    <x v="227"/>
    <x v="6"/>
    <x v="3"/>
    <s v="Hoàn thành"/>
    <s v="Đúng hạn"/>
  </r>
  <r>
    <n v="242"/>
    <x v="0"/>
    <x v="189"/>
    <m/>
    <n v="65000000"/>
    <n v="-65000000"/>
    <s v="Chi tiêu lớn"/>
    <x v="228"/>
    <x v="6"/>
    <x v="0"/>
    <s v="Hoàn thành"/>
    <s v="Phú Quốc"/>
  </r>
  <r>
    <n v="243"/>
    <x v="0"/>
    <x v="190"/>
    <m/>
    <n v="350000"/>
    <n v="-350000"/>
    <s v=""/>
    <x v="229"/>
    <x v="0"/>
    <x v="1"/>
    <s v="Hoàn thành"/>
    <s v="Chuyến sớm"/>
  </r>
  <r>
    <n v="244"/>
    <x v="1"/>
    <x v="191"/>
    <m/>
    <n v="2000000"/>
    <n v="2000000"/>
    <s v=""/>
    <x v="230"/>
    <x v="1"/>
    <x v="3"/>
    <s v="Hoàn thành"/>
    <s v="Quốc khánh"/>
  </r>
  <r>
    <n v="245"/>
    <x v="0"/>
    <x v="192"/>
    <m/>
    <n v="42000000"/>
    <n v="-42000000"/>
    <s v="Chi tiêu lớn"/>
    <x v="231"/>
    <x v="2"/>
    <x v="0"/>
    <s v="Hoàn thành"/>
    <s v="3N2Đ"/>
  </r>
  <r>
    <n v="246"/>
    <x v="0"/>
    <x v="193"/>
    <m/>
    <n v="31000000"/>
    <n v="-31000000"/>
    <s v="Chi tiêu lớn"/>
    <x v="232"/>
    <x v="10"/>
    <x v="2"/>
    <s v="Hoàn thành"/>
    <s v="Ven biển"/>
  </r>
  <r>
    <n v="247"/>
    <x v="1"/>
    <x v="194"/>
    <m/>
    <n v="500000"/>
    <n v="500000"/>
    <s v=""/>
    <x v="233"/>
    <x v="3"/>
    <x v="1"/>
    <s v="Hoàn thành"/>
    <s v="Thuê đồ"/>
  </r>
  <r>
    <n v="248"/>
    <x v="0"/>
    <x v="195"/>
    <m/>
    <n v="15000000"/>
    <n v="-15000000"/>
    <s v="Chi tiêu lớn"/>
    <x v="234"/>
    <x v="4"/>
    <x v="0"/>
    <s v="Hoàn thành"/>
    <s v="Đặc sả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E5C46-0FFE-48A3-8A83-CA4C43338631}" name="PivotTable4"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38:N51" firstHeaderRow="1" firstDataRow="1" firstDataCol="1"/>
  <pivotFields count="12">
    <pivotField showAll="0"/>
    <pivotField showAll="0"/>
    <pivotField showAll="0"/>
    <pivotField showAll="0"/>
    <pivotField showAll="0"/>
    <pivotField dataField="1" showAll="0"/>
    <pivotField showAll="0"/>
    <pivotField numFmtId="166" showAll="0">
      <items count="236">
        <item x="0"/>
        <item x="27"/>
        <item x="53"/>
        <item x="82"/>
        <item x="111"/>
        <item x="140"/>
        <item x="198"/>
        <item x="229"/>
        <item x="10"/>
        <item x="11"/>
        <item x="12"/>
        <item x="13"/>
        <item x="14"/>
        <item x="15"/>
        <item x="16"/>
        <item x="17"/>
        <item x="18"/>
        <item x="19"/>
        <item x="20"/>
        <item x="21"/>
        <item x="22"/>
        <item x="23"/>
        <item x="24"/>
        <item x="25"/>
        <item x="26"/>
        <item x="1"/>
        <item x="28"/>
        <item x="54"/>
        <item x="83"/>
        <item x="112"/>
        <item x="141"/>
        <item x="170"/>
        <item x="199"/>
        <item x="230"/>
        <item x="39"/>
        <item x="40"/>
        <item x="41"/>
        <item x="42"/>
        <item x="43"/>
        <item x="44"/>
        <item x="45"/>
        <item x="46"/>
        <item x="47"/>
        <item x="48"/>
        <item x="49"/>
        <item x="50"/>
        <item x="51"/>
        <item x="52"/>
        <item x="2"/>
        <item x="29"/>
        <item x="55"/>
        <item x="84"/>
        <item x="113"/>
        <item x="142"/>
        <item x="171"/>
        <item x="200"/>
        <item x="231"/>
        <item x="64"/>
        <item x="65"/>
        <item x="66"/>
        <item x="67"/>
        <item x="68"/>
        <item x="69"/>
        <item x="70"/>
        <item x="71"/>
        <item x="72"/>
        <item x="73"/>
        <item x="74"/>
        <item x="75"/>
        <item x="76"/>
        <item x="77"/>
        <item x="78"/>
        <item x="79"/>
        <item x="80"/>
        <item x="81"/>
        <item x="30"/>
        <item x="56"/>
        <item x="85"/>
        <item x="114"/>
        <item x="143"/>
        <item x="172"/>
        <item x="201"/>
        <item x="232"/>
        <item x="94"/>
        <item x="95"/>
        <item x="96"/>
        <item x="97"/>
        <item x="98"/>
        <item x="99"/>
        <item x="100"/>
        <item x="101"/>
        <item x="102"/>
        <item x="103"/>
        <item x="104"/>
        <item x="105"/>
        <item x="106"/>
        <item x="107"/>
        <item x="108"/>
        <item x="109"/>
        <item x="110"/>
        <item x="3"/>
        <item x="31"/>
        <item x="57"/>
        <item x="86"/>
        <item x="115"/>
        <item x="144"/>
        <item x="173"/>
        <item x="202"/>
        <item x="233"/>
        <item x="123"/>
        <item x="124"/>
        <item x="125"/>
        <item x="126"/>
        <item x="127"/>
        <item x="128"/>
        <item x="129"/>
        <item x="130"/>
        <item x="131"/>
        <item x="132"/>
        <item x="133"/>
        <item x="134"/>
        <item x="135"/>
        <item x="136"/>
        <item x="137"/>
        <item x="138"/>
        <item x="139"/>
        <item x="4"/>
        <item x="32"/>
        <item x="58"/>
        <item x="87"/>
        <item x="116"/>
        <item x="145"/>
        <item x="174"/>
        <item x="203"/>
        <item x="234"/>
        <item x="152"/>
        <item x="153"/>
        <item x="154"/>
        <item x="155"/>
        <item x="156"/>
        <item x="157"/>
        <item x="158"/>
        <item x="159"/>
        <item x="160"/>
        <item x="161"/>
        <item x="162"/>
        <item x="163"/>
        <item x="164"/>
        <item x="165"/>
        <item x="166"/>
        <item x="167"/>
        <item x="168"/>
        <item x="169"/>
        <item x="5"/>
        <item x="33"/>
        <item x="88"/>
        <item x="117"/>
        <item x="146"/>
        <item x="175"/>
        <item x="204"/>
        <item x="181"/>
        <item x="182"/>
        <item x="183"/>
        <item x="184"/>
        <item x="185"/>
        <item x="186"/>
        <item x="187"/>
        <item x="188"/>
        <item x="189"/>
        <item x="190"/>
        <item x="191"/>
        <item x="192"/>
        <item x="193"/>
        <item x="194"/>
        <item x="195"/>
        <item x="196"/>
        <item x="197"/>
        <item x="6"/>
        <item x="34"/>
        <item x="59"/>
        <item x="89"/>
        <item x="118"/>
        <item x="147"/>
        <item x="176"/>
        <item x="205"/>
        <item x="210"/>
        <item x="211"/>
        <item x="212"/>
        <item x="213"/>
        <item x="214"/>
        <item x="215"/>
        <item x="216"/>
        <item x="217"/>
        <item x="218"/>
        <item x="219"/>
        <item x="220"/>
        <item x="221"/>
        <item x="222"/>
        <item x="223"/>
        <item x="224"/>
        <item x="225"/>
        <item x="226"/>
        <item x="227"/>
        <item x="228"/>
        <item x="35"/>
        <item x="60"/>
        <item x="90"/>
        <item x="119"/>
        <item x="148"/>
        <item x="177"/>
        <item x="206"/>
        <item x="7"/>
        <item x="36"/>
        <item x="61"/>
        <item x="91"/>
        <item x="120"/>
        <item x="149"/>
        <item x="178"/>
        <item x="207"/>
        <item x="8"/>
        <item x="37"/>
        <item x="62"/>
        <item x="92"/>
        <item x="121"/>
        <item x="150"/>
        <item x="179"/>
        <item x="208"/>
        <item x="9"/>
        <item x="38"/>
        <item x="63"/>
        <item x="93"/>
        <item x="122"/>
        <item x="151"/>
        <item x="180"/>
        <item x="209"/>
        <item t="default"/>
      </items>
    </pivotField>
    <pivotField axis="axisRow" showAll="0">
      <items count="13">
        <item x="0"/>
        <item x="1"/>
        <item x="2"/>
        <item x="10"/>
        <item x="3"/>
        <item x="4"/>
        <item x="5"/>
        <item x="6"/>
        <item x="11"/>
        <item x="7"/>
        <item x="8"/>
        <item x="9"/>
        <item t="default"/>
      </items>
    </pivotField>
    <pivotField showAll="0">
      <items count="5">
        <item x="3"/>
        <item h="1" x="2"/>
        <item h="1" x="0"/>
        <item h="1" x="1"/>
        <item t="default"/>
      </items>
    </pivotField>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Sum of So_Tien_Thuc"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69CDFD-E87F-48E6-9BCB-4EDF554743D1}"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N3" firstHeaderRow="1" firstDataRow="1" firstDataCol="1"/>
  <pivotFields count="12">
    <pivotField showAll="0"/>
    <pivotField showAll="0"/>
    <pivotField showAll="0"/>
    <pivotField showAll="0"/>
    <pivotField showAll="0"/>
    <pivotField dataField="1" showAll="0"/>
    <pivotField showAll="0"/>
    <pivotField numFmtId="166" showAll="0">
      <items count="236">
        <item x="0"/>
        <item x="27"/>
        <item x="53"/>
        <item x="82"/>
        <item x="111"/>
        <item x="140"/>
        <item x="198"/>
        <item x="229"/>
        <item x="10"/>
        <item x="11"/>
        <item x="12"/>
        <item x="13"/>
        <item x="14"/>
        <item x="15"/>
        <item x="16"/>
        <item x="17"/>
        <item x="18"/>
        <item x="19"/>
        <item x="20"/>
        <item x="21"/>
        <item x="22"/>
        <item x="23"/>
        <item x="24"/>
        <item x="25"/>
        <item x="26"/>
        <item x="1"/>
        <item x="28"/>
        <item x="54"/>
        <item x="83"/>
        <item x="112"/>
        <item x="141"/>
        <item x="170"/>
        <item x="199"/>
        <item x="230"/>
        <item x="39"/>
        <item x="40"/>
        <item x="41"/>
        <item x="42"/>
        <item x="43"/>
        <item x="44"/>
        <item x="45"/>
        <item x="46"/>
        <item x="47"/>
        <item x="48"/>
        <item x="49"/>
        <item x="50"/>
        <item x="51"/>
        <item x="52"/>
        <item x="2"/>
        <item x="29"/>
        <item x="55"/>
        <item x="84"/>
        <item x="113"/>
        <item x="142"/>
        <item x="171"/>
        <item x="200"/>
        <item x="231"/>
        <item x="64"/>
        <item x="65"/>
        <item x="66"/>
        <item x="67"/>
        <item x="68"/>
        <item x="69"/>
        <item x="70"/>
        <item x="71"/>
        <item x="72"/>
        <item x="73"/>
        <item x="74"/>
        <item x="75"/>
        <item x="76"/>
        <item x="77"/>
        <item x="78"/>
        <item x="79"/>
        <item x="80"/>
        <item x="81"/>
        <item x="30"/>
        <item x="56"/>
        <item x="85"/>
        <item x="114"/>
        <item x="143"/>
        <item x="172"/>
        <item x="201"/>
        <item x="232"/>
        <item x="94"/>
        <item x="95"/>
        <item x="96"/>
        <item x="97"/>
        <item x="98"/>
        <item x="99"/>
        <item x="100"/>
        <item x="101"/>
        <item x="102"/>
        <item x="103"/>
        <item x="104"/>
        <item x="105"/>
        <item x="106"/>
        <item x="107"/>
        <item x="108"/>
        <item x="109"/>
        <item x="110"/>
        <item x="3"/>
        <item x="31"/>
        <item x="57"/>
        <item x="86"/>
        <item x="115"/>
        <item x="144"/>
        <item x="173"/>
        <item x="202"/>
        <item x="233"/>
        <item x="123"/>
        <item x="124"/>
        <item x="125"/>
        <item x="126"/>
        <item x="127"/>
        <item x="128"/>
        <item x="129"/>
        <item x="130"/>
        <item x="131"/>
        <item x="132"/>
        <item x="133"/>
        <item x="134"/>
        <item x="135"/>
        <item x="136"/>
        <item x="137"/>
        <item x="138"/>
        <item x="139"/>
        <item x="4"/>
        <item x="32"/>
        <item x="58"/>
        <item x="87"/>
        <item x="116"/>
        <item x="145"/>
        <item x="174"/>
        <item x="203"/>
        <item x="234"/>
        <item x="152"/>
        <item x="153"/>
        <item x="154"/>
        <item x="155"/>
        <item x="156"/>
        <item x="157"/>
        <item x="158"/>
        <item x="159"/>
        <item x="160"/>
        <item x="161"/>
        <item x="162"/>
        <item x="163"/>
        <item x="164"/>
        <item x="165"/>
        <item x="166"/>
        <item x="167"/>
        <item x="168"/>
        <item x="169"/>
        <item x="5"/>
        <item x="33"/>
        <item x="88"/>
        <item x="117"/>
        <item x="146"/>
        <item x="175"/>
        <item x="204"/>
        <item x="181"/>
        <item x="182"/>
        <item x="183"/>
        <item x="184"/>
        <item x="185"/>
        <item x="186"/>
        <item x="187"/>
        <item x="188"/>
        <item x="189"/>
        <item x="190"/>
        <item x="191"/>
        <item x="192"/>
        <item x="193"/>
        <item x="194"/>
        <item x="195"/>
        <item x="196"/>
        <item x="197"/>
        <item x="6"/>
        <item x="34"/>
        <item x="59"/>
        <item x="89"/>
        <item x="118"/>
        <item x="147"/>
        <item x="176"/>
        <item x="205"/>
        <item x="210"/>
        <item x="211"/>
        <item x="212"/>
        <item x="213"/>
        <item x="214"/>
        <item x="215"/>
        <item x="216"/>
        <item x="217"/>
        <item x="218"/>
        <item x="219"/>
        <item x="220"/>
        <item x="221"/>
        <item x="222"/>
        <item x="223"/>
        <item x="224"/>
        <item x="225"/>
        <item x="226"/>
        <item x="227"/>
        <item x="228"/>
        <item x="35"/>
        <item x="60"/>
        <item x="90"/>
        <item x="119"/>
        <item x="148"/>
        <item x="177"/>
        <item x="206"/>
        <item x="7"/>
        <item x="36"/>
        <item x="61"/>
        <item x="91"/>
        <item x="120"/>
        <item x="149"/>
        <item x="178"/>
        <item x="207"/>
        <item x="8"/>
        <item x="37"/>
        <item x="62"/>
        <item x="92"/>
        <item x="121"/>
        <item x="150"/>
        <item x="179"/>
        <item x="208"/>
        <item x="9"/>
        <item x="38"/>
        <item x="63"/>
        <item x="93"/>
        <item x="122"/>
        <item x="151"/>
        <item x="180"/>
        <item x="209"/>
        <item t="default"/>
      </items>
    </pivotField>
    <pivotField showAll="0"/>
    <pivotField axis="axisRow" showAll="0">
      <items count="5">
        <item x="3"/>
        <item h="1" x="2"/>
        <item h="1" x="0"/>
        <item h="1" x="1"/>
        <item t="default"/>
      </items>
    </pivotField>
    <pivotField showAll="0"/>
    <pivotField showAll="0"/>
  </pivotFields>
  <rowFields count="1">
    <field x="9"/>
  </rowFields>
  <rowItems count="2">
    <i>
      <x/>
    </i>
    <i t="grand">
      <x/>
    </i>
  </rowItems>
  <colItems count="1">
    <i/>
  </colItems>
  <dataFields count="1">
    <dataField name="Sum of So_Tien_Thuc"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FE85BB-289E-4E6B-8623-D8397C4240AF}" name="PivotTable2"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8:B44" firstHeaderRow="1" firstDataRow="1" firstDataCol="1" rowPageCount="1" colPageCount="1"/>
  <pivotFields count="12">
    <pivotField showAll="0"/>
    <pivotField axis="axisPage" showAll="0">
      <items count="3">
        <item x="1"/>
        <item x="0"/>
        <item t="default"/>
      </items>
    </pivotField>
    <pivotField axis="axisRow" showAll="0" measureFilter="1" sortType="descending">
      <items count="197">
        <item x="90"/>
        <item x="2"/>
        <item x="94"/>
        <item x="157"/>
        <item x="54"/>
        <item x="115"/>
        <item x="39"/>
        <item x="139"/>
        <item x="131"/>
        <item x="148"/>
        <item x="186"/>
        <item x="47"/>
        <item x="81"/>
        <item x="193"/>
        <item x="29"/>
        <item x="135"/>
        <item x="44"/>
        <item x="173"/>
        <item x="136"/>
        <item x="105"/>
        <item x="122"/>
        <item x="58"/>
        <item x="165"/>
        <item x="85"/>
        <item x="114"/>
        <item x="150"/>
        <item x="67"/>
        <item x="144"/>
        <item x="12"/>
        <item x="49"/>
        <item x="121"/>
        <item x="137"/>
        <item x="32"/>
        <item x="71"/>
        <item x="151"/>
        <item x="4"/>
        <item x="10"/>
        <item x="169"/>
        <item x="92"/>
        <item x="18"/>
        <item x="152"/>
        <item x="31"/>
        <item x="70"/>
        <item x="84"/>
        <item x="164"/>
        <item x="57"/>
        <item x="138"/>
        <item x="5"/>
        <item x="176"/>
        <item x="6"/>
        <item x="80"/>
        <item x="108"/>
        <item x="125"/>
        <item x="68"/>
        <item x="113"/>
        <item x="99"/>
        <item x="160"/>
        <item x="9"/>
        <item x="46"/>
        <item x="130"/>
        <item x="43"/>
        <item x="75"/>
        <item x="14"/>
        <item x="145"/>
        <item x="183"/>
        <item x="118"/>
        <item x="65"/>
        <item x="35"/>
        <item x="33"/>
        <item x="76"/>
        <item x="17"/>
        <item x="95"/>
        <item x="194"/>
        <item x="52"/>
        <item x="168"/>
        <item x="117"/>
        <item x="140"/>
        <item x="184"/>
        <item x="120"/>
        <item x="53"/>
        <item x="96"/>
        <item x="78"/>
        <item x="11"/>
        <item x="192"/>
        <item x="155"/>
        <item x="48"/>
        <item x="178"/>
        <item x="143"/>
        <item x="72"/>
        <item x="129"/>
        <item x="20"/>
        <item x="126"/>
        <item x="26"/>
        <item x="3"/>
        <item x="55"/>
        <item x="79"/>
        <item x="110"/>
        <item x="132"/>
        <item x="133"/>
        <item x="170"/>
        <item x="188"/>
        <item x="166"/>
        <item x="41"/>
        <item x="34"/>
        <item x="174"/>
        <item x="97"/>
        <item x="69"/>
        <item x="45"/>
        <item x="83"/>
        <item x="134"/>
        <item x="116"/>
        <item x="74"/>
        <item x="146"/>
        <item x="182"/>
        <item x="7"/>
        <item x="38"/>
        <item x="93"/>
        <item x="15"/>
        <item x="141"/>
        <item x="50"/>
        <item x="179"/>
        <item x="149"/>
        <item x="64"/>
        <item x="56"/>
        <item x="123"/>
        <item x="111"/>
        <item x="156"/>
        <item x="102"/>
        <item x="28"/>
        <item x="42"/>
        <item x="128"/>
        <item x="112"/>
        <item x="106"/>
        <item x="77"/>
        <item x="91"/>
        <item x="87"/>
        <item x="181"/>
        <item x="154"/>
        <item x="63"/>
        <item x="195"/>
        <item x="127"/>
        <item x="88"/>
        <item x="104"/>
        <item x="180"/>
        <item x="158"/>
        <item x="21"/>
        <item x="8"/>
        <item x="161"/>
        <item x="177"/>
        <item x="60"/>
        <item x="187"/>
        <item x="101"/>
        <item x="147"/>
        <item x="86"/>
        <item x="124"/>
        <item x="100"/>
        <item x="62"/>
        <item x="37"/>
        <item x="19"/>
        <item x="25"/>
        <item x="103"/>
        <item x="190"/>
        <item x="153"/>
        <item x="119"/>
        <item x="24"/>
        <item x="36"/>
        <item x="109"/>
        <item x="16"/>
        <item x="191"/>
        <item x="40"/>
        <item x="167"/>
        <item x="107"/>
        <item x="61"/>
        <item x="163"/>
        <item x="175"/>
        <item x="1"/>
        <item x="162"/>
        <item x="51"/>
        <item x="98"/>
        <item x="142"/>
        <item x="172"/>
        <item x="13"/>
        <item x="27"/>
        <item x="30"/>
        <item x="82"/>
        <item x="159"/>
        <item x="185"/>
        <item x="89"/>
        <item x="171"/>
        <item x="73"/>
        <item x="0"/>
        <item x="23"/>
        <item x="189"/>
        <item x="22"/>
        <item x="59"/>
        <item x="6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66" showAll="0">
      <items count="236">
        <item x="0"/>
        <item x="27"/>
        <item x="53"/>
        <item x="82"/>
        <item x="111"/>
        <item x="140"/>
        <item x="198"/>
        <item x="229"/>
        <item x="10"/>
        <item x="11"/>
        <item x="12"/>
        <item x="13"/>
        <item x="14"/>
        <item x="15"/>
        <item x="16"/>
        <item x="17"/>
        <item x="18"/>
        <item x="19"/>
        <item x="20"/>
        <item x="21"/>
        <item x="22"/>
        <item x="23"/>
        <item x="24"/>
        <item x="25"/>
        <item x="26"/>
        <item x="1"/>
        <item x="28"/>
        <item x="54"/>
        <item x="83"/>
        <item x="112"/>
        <item x="141"/>
        <item x="170"/>
        <item x="199"/>
        <item x="230"/>
        <item x="39"/>
        <item x="40"/>
        <item x="41"/>
        <item x="42"/>
        <item x="43"/>
        <item x="44"/>
        <item x="45"/>
        <item x="46"/>
        <item x="47"/>
        <item x="48"/>
        <item x="49"/>
        <item x="50"/>
        <item x="51"/>
        <item x="52"/>
        <item x="2"/>
        <item x="29"/>
        <item x="55"/>
        <item x="84"/>
        <item x="113"/>
        <item x="142"/>
        <item x="171"/>
        <item x="200"/>
        <item x="231"/>
        <item x="64"/>
        <item x="65"/>
        <item x="66"/>
        <item x="67"/>
        <item x="68"/>
        <item x="69"/>
        <item x="70"/>
        <item x="71"/>
        <item x="72"/>
        <item x="73"/>
        <item x="74"/>
        <item x="75"/>
        <item x="76"/>
        <item x="77"/>
        <item x="78"/>
        <item x="79"/>
        <item x="80"/>
        <item x="81"/>
        <item x="30"/>
        <item x="56"/>
        <item x="85"/>
        <item x="114"/>
        <item x="143"/>
        <item x="172"/>
        <item x="201"/>
        <item x="232"/>
        <item x="94"/>
        <item x="95"/>
        <item x="96"/>
        <item x="97"/>
        <item x="98"/>
        <item x="99"/>
        <item x="100"/>
        <item x="101"/>
        <item x="102"/>
        <item x="103"/>
        <item x="104"/>
        <item x="105"/>
        <item x="106"/>
        <item x="107"/>
        <item x="108"/>
        <item x="109"/>
        <item x="110"/>
        <item x="3"/>
        <item x="31"/>
        <item x="57"/>
        <item x="86"/>
        <item x="115"/>
        <item x="144"/>
        <item x="173"/>
        <item x="202"/>
        <item x="233"/>
        <item x="123"/>
        <item x="124"/>
        <item x="125"/>
        <item x="126"/>
        <item x="127"/>
        <item x="128"/>
        <item x="129"/>
        <item x="130"/>
        <item x="131"/>
        <item x="132"/>
        <item x="133"/>
        <item x="134"/>
        <item x="135"/>
        <item x="136"/>
        <item x="137"/>
        <item x="138"/>
        <item x="139"/>
        <item x="4"/>
        <item x="32"/>
        <item x="58"/>
        <item x="87"/>
        <item x="116"/>
        <item x="145"/>
        <item x="174"/>
        <item x="203"/>
        <item x="234"/>
        <item x="152"/>
        <item x="153"/>
        <item x="154"/>
        <item x="155"/>
        <item x="156"/>
        <item x="157"/>
        <item x="158"/>
        <item x="159"/>
        <item x="160"/>
        <item x="161"/>
        <item x="162"/>
        <item x="163"/>
        <item x="164"/>
        <item x="165"/>
        <item x="166"/>
        <item x="167"/>
        <item x="168"/>
        <item x="169"/>
        <item x="5"/>
        <item x="33"/>
        <item x="88"/>
        <item x="117"/>
        <item x="146"/>
        <item x="175"/>
        <item x="204"/>
        <item x="181"/>
        <item x="182"/>
        <item x="183"/>
        <item x="184"/>
        <item x="185"/>
        <item x="186"/>
        <item x="187"/>
        <item x="188"/>
        <item x="189"/>
        <item x="190"/>
        <item x="191"/>
        <item x="192"/>
        <item x="193"/>
        <item x="194"/>
        <item x="195"/>
        <item x="196"/>
        <item x="197"/>
        <item x="6"/>
        <item x="34"/>
        <item x="59"/>
        <item x="89"/>
        <item x="118"/>
        <item x="147"/>
        <item x="176"/>
        <item x="205"/>
        <item x="210"/>
        <item x="211"/>
        <item x="212"/>
        <item x="213"/>
        <item x="214"/>
        <item x="215"/>
        <item x="216"/>
        <item x="217"/>
        <item x="218"/>
        <item x="219"/>
        <item x="220"/>
        <item x="221"/>
        <item x="222"/>
        <item x="223"/>
        <item x="224"/>
        <item x="225"/>
        <item x="226"/>
        <item x="227"/>
        <item x="228"/>
        <item x="35"/>
        <item x="60"/>
        <item x="90"/>
        <item x="119"/>
        <item x="148"/>
        <item x="177"/>
        <item x="206"/>
        <item x="7"/>
        <item x="36"/>
        <item x="61"/>
        <item x="91"/>
        <item x="120"/>
        <item x="149"/>
        <item x="178"/>
        <item x="207"/>
        <item x="8"/>
        <item x="37"/>
        <item x="62"/>
        <item x="92"/>
        <item x="121"/>
        <item x="150"/>
        <item x="179"/>
        <item x="208"/>
        <item x="9"/>
        <item x="38"/>
        <item x="63"/>
        <item x="93"/>
        <item x="122"/>
        <item x="151"/>
        <item x="180"/>
        <item x="209"/>
        <item t="default"/>
      </items>
    </pivotField>
    <pivotField showAll="0"/>
    <pivotField showAll="0">
      <items count="5">
        <item x="3"/>
        <item h="1" x="2"/>
        <item h="1" x="0"/>
        <item h="1" x="1"/>
        <item t="default"/>
      </items>
    </pivotField>
    <pivotField showAll="0"/>
    <pivotField showAll="0"/>
  </pivotFields>
  <rowFields count="1">
    <field x="2"/>
  </rowFields>
  <rowItems count="6">
    <i>
      <x v="16"/>
    </i>
    <i>
      <x v="69"/>
    </i>
    <i>
      <x v="98"/>
    </i>
    <i>
      <x v="55"/>
    </i>
    <i>
      <x v="193"/>
    </i>
    <i t="grand">
      <x/>
    </i>
  </rowItems>
  <colItems count="1">
    <i/>
  </colItems>
  <pageFields count="1">
    <pageField fld="1" hier="-1"/>
  </pageFields>
  <dataFields count="1">
    <dataField name="Sum of Số_Tiền" fld="4"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109"/>
          </reference>
        </references>
      </pivotArea>
    </chartFormat>
    <chartFormat chart="7" format="9">
      <pivotArea type="data" outline="0" fieldPosition="0">
        <references count="2">
          <reference field="4294967294" count="1" selected="0">
            <x v="0"/>
          </reference>
          <reference field="2" count="1" selected="0">
            <x v="16"/>
          </reference>
        </references>
      </pivotArea>
    </chartFormat>
    <chartFormat chart="7" format="10">
      <pivotArea type="data" outline="0" fieldPosition="0">
        <references count="2">
          <reference field="4294967294" count="1" selected="0">
            <x v="0"/>
          </reference>
          <reference field="2" count="1" selected="0">
            <x v="21"/>
          </reference>
        </references>
      </pivotArea>
    </chartFormat>
    <chartFormat chart="7" format="11">
      <pivotArea type="data" outline="0" fieldPosition="0">
        <references count="2">
          <reference field="4294967294" count="1" selected="0">
            <x v="0"/>
          </reference>
          <reference field="2" count="1" selected="0">
            <x v="23"/>
          </reference>
        </references>
      </pivotArea>
    </chartFormat>
    <chartFormat chart="7" format="12">
      <pivotArea type="data" outline="0" fieldPosition="0">
        <references count="2">
          <reference field="4294967294" count="1" selected="0">
            <x v="0"/>
          </reference>
          <reference field="2" count="1" selected="0">
            <x v="19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C42C92-C307-4117-8817-ADE029C892FC}"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D15" firstHeaderRow="1" firstDataRow="2" firstDataCol="1"/>
  <pivotFields count="12">
    <pivotField showAll="0"/>
    <pivotField axis="axisCol" showAll="0">
      <items count="3">
        <item x="1"/>
        <item x="0"/>
        <item t="default"/>
      </items>
    </pivotField>
    <pivotField showAll="0"/>
    <pivotField showAll="0"/>
    <pivotField showAll="0"/>
    <pivotField dataField="1" showAll="0"/>
    <pivotField showAll="0"/>
    <pivotField numFmtId="166" showAll="0">
      <items count="236">
        <item x="0"/>
        <item x="27"/>
        <item x="53"/>
        <item x="82"/>
        <item x="111"/>
        <item x="140"/>
        <item x="198"/>
        <item x="229"/>
        <item x="10"/>
        <item x="11"/>
        <item x="12"/>
        <item x="13"/>
        <item x="14"/>
        <item x="15"/>
        <item x="16"/>
        <item x="17"/>
        <item x="18"/>
        <item x="19"/>
        <item x="20"/>
        <item x="21"/>
        <item x="22"/>
        <item x="23"/>
        <item x="24"/>
        <item x="25"/>
        <item x="26"/>
        <item x="1"/>
        <item x="28"/>
        <item x="54"/>
        <item x="83"/>
        <item x="112"/>
        <item x="141"/>
        <item x="170"/>
        <item x="199"/>
        <item x="230"/>
        <item x="39"/>
        <item x="40"/>
        <item x="41"/>
        <item x="42"/>
        <item x="43"/>
        <item x="44"/>
        <item x="45"/>
        <item x="46"/>
        <item x="47"/>
        <item x="48"/>
        <item x="49"/>
        <item x="50"/>
        <item x="51"/>
        <item x="52"/>
        <item x="2"/>
        <item x="29"/>
        <item x="55"/>
        <item x="84"/>
        <item x="113"/>
        <item x="142"/>
        <item x="171"/>
        <item x="200"/>
        <item x="231"/>
        <item x="64"/>
        <item x="65"/>
        <item x="66"/>
        <item x="67"/>
        <item x="68"/>
        <item x="69"/>
        <item x="70"/>
        <item x="71"/>
        <item x="72"/>
        <item x="73"/>
        <item x="74"/>
        <item x="75"/>
        <item x="76"/>
        <item x="77"/>
        <item x="78"/>
        <item x="79"/>
        <item x="80"/>
        <item x="81"/>
        <item x="30"/>
        <item x="56"/>
        <item x="85"/>
        <item x="114"/>
        <item x="143"/>
        <item x="172"/>
        <item x="201"/>
        <item x="232"/>
        <item x="94"/>
        <item x="95"/>
        <item x="96"/>
        <item x="97"/>
        <item x="98"/>
        <item x="99"/>
        <item x="100"/>
        <item x="101"/>
        <item x="102"/>
        <item x="103"/>
        <item x="104"/>
        <item x="105"/>
        <item x="106"/>
        <item x="107"/>
        <item x="108"/>
        <item x="109"/>
        <item x="110"/>
        <item x="3"/>
        <item x="31"/>
        <item x="57"/>
        <item x="86"/>
        <item x="115"/>
        <item x="144"/>
        <item x="173"/>
        <item x="202"/>
        <item x="233"/>
        <item x="123"/>
        <item x="124"/>
        <item x="125"/>
        <item x="126"/>
        <item x="127"/>
        <item x="128"/>
        <item x="129"/>
        <item x="130"/>
        <item x="131"/>
        <item x="132"/>
        <item x="133"/>
        <item x="134"/>
        <item x="135"/>
        <item x="136"/>
        <item x="137"/>
        <item x="138"/>
        <item x="139"/>
        <item x="4"/>
        <item x="32"/>
        <item x="58"/>
        <item x="87"/>
        <item x="116"/>
        <item x="145"/>
        <item x="174"/>
        <item x="203"/>
        <item x="234"/>
        <item x="152"/>
        <item x="153"/>
        <item x="154"/>
        <item x="155"/>
        <item x="156"/>
        <item x="157"/>
        <item x="158"/>
        <item x="159"/>
        <item x="160"/>
        <item x="161"/>
        <item x="162"/>
        <item x="163"/>
        <item x="164"/>
        <item x="165"/>
        <item x="166"/>
        <item x="167"/>
        <item x="168"/>
        <item x="169"/>
        <item x="5"/>
        <item x="33"/>
        <item x="88"/>
        <item x="117"/>
        <item x="146"/>
        <item x="175"/>
        <item x="204"/>
        <item x="181"/>
        <item x="182"/>
        <item x="183"/>
        <item x="184"/>
        <item x="185"/>
        <item x="186"/>
        <item x="187"/>
        <item x="188"/>
        <item x="189"/>
        <item x="190"/>
        <item x="191"/>
        <item x="192"/>
        <item x="193"/>
        <item x="194"/>
        <item x="195"/>
        <item x="196"/>
        <item x="197"/>
        <item x="6"/>
        <item x="34"/>
        <item x="59"/>
        <item x="89"/>
        <item x="118"/>
        <item x="147"/>
        <item x="176"/>
        <item x="205"/>
        <item x="210"/>
        <item x="211"/>
        <item x="212"/>
        <item x="213"/>
        <item x="214"/>
        <item x="215"/>
        <item x="216"/>
        <item x="217"/>
        <item x="218"/>
        <item x="219"/>
        <item x="220"/>
        <item x="221"/>
        <item x="222"/>
        <item x="223"/>
        <item x="224"/>
        <item x="225"/>
        <item x="226"/>
        <item x="227"/>
        <item x="228"/>
        <item x="35"/>
        <item x="60"/>
        <item x="90"/>
        <item x="119"/>
        <item x="148"/>
        <item x="177"/>
        <item x="206"/>
        <item x="7"/>
        <item x="36"/>
        <item x="61"/>
        <item x="91"/>
        <item x="120"/>
        <item x="149"/>
        <item x="178"/>
        <item x="207"/>
        <item x="8"/>
        <item x="37"/>
        <item x="62"/>
        <item x="92"/>
        <item x="121"/>
        <item x="150"/>
        <item x="179"/>
        <item x="208"/>
        <item x="9"/>
        <item x="38"/>
        <item x="63"/>
        <item x="93"/>
        <item x="122"/>
        <item x="151"/>
        <item x="180"/>
        <item x="209"/>
        <item t="default"/>
      </items>
    </pivotField>
    <pivotField axis="axisRow" showAll="0">
      <items count="13">
        <item x="0"/>
        <item x="1"/>
        <item x="2"/>
        <item x="10"/>
        <item x="3"/>
        <item x="4"/>
        <item x="5"/>
        <item x="6"/>
        <item x="11"/>
        <item x="7"/>
        <item x="8"/>
        <item x="9"/>
        <item t="default"/>
      </items>
    </pivotField>
    <pivotField showAll="0">
      <items count="5">
        <item x="3"/>
        <item h="1" x="2"/>
        <item h="1" x="0"/>
        <item h="1" x="1"/>
        <item t="default"/>
      </items>
    </pivotField>
    <pivotField showAll="0"/>
    <pivotField showAll="0"/>
  </pivotFields>
  <rowFields count="1">
    <field x="8"/>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So_Tien_Thuc" fld="5"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ày_GD" xr10:uid="{14DD9570-D1F4-44D0-BD49-C3292BE8FE6E}" sourceName="Ngày_GD">
  <pivotTables>
    <pivotTable tabId="2" name="PivotTable1"/>
  </pivotTables>
  <data>
    <tabular pivotCacheId="678018212">
      <items count="235">
        <i x="140" s="1"/>
        <i x="13" s="1"/>
        <i x="22" s="1"/>
        <i x="26" s="1"/>
        <i x="54" s="1"/>
        <i x="230" s="1"/>
        <i x="40" s="1"/>
        <i x="47" s="1"/>
        <i x="49" s="1"/>
        <i x="113" s="1"/>
        <i x="64" s="1"/>
        <i x="70" s="1"/>
        <i x="72" s="1"/>
        <i x="78" s="1"/>
        <i x="81" s="1"/>
        <i x="56" s="1"/>
        <i x="94" s="1"/>
        <i x="101" s="1"/>
        <i x="104" s="1"/>
        <i x="110" s="1"/>
        <i x="3" s="1"/>
        <i x="124" s="1"/>
        <i x="130" s="1"/>
        <i x="133" s="1"/>
        <i x="139" s="1"/>
        <i x="116" s="1"/>
        <i x="203" s="1"/>
        <i x="155" s="1"/>
        <i x="163" s="1"/>
        <i x="169" s="1"/>
        <i x="189" s="1"/>
        <i x="192" s="1"/>
        <i x="197" s="1"/>
        <i x="147" s="1"/>
        <i x="213" s="1"/>
        <i x="217" s="1"/>
        <i x="227" s="1"/>
        <i x="177" s="1"/>
        <i x="206" s="1"/>
        <i x="91" s="1"/>
        <i x="37" s="1"/>
        <i x="92" s="1"/>
        <i x="208" s="1"/>
        <i x="9" s="1"/>
        <i x="151" s="1"/>
        <i x="180" s="1"/>
        <i x="0" s="1" nd="1"/>
        <i x="27" s="1" nd="1"/>
        <i x="53" s="1" nd="1"/>
        <i x="82" s="1" nd="1"/>
        <i x="111" s="1" nd="1"/>
        <i x="198" s="1" nd="1"/>
        <i x="229" s="1" nd="1"/>
        <i x="10" s="1" nd="1"/>
        <i x="11" s="1" nd="1"/>
        <i x="12" s="1" nd="1"/>
        <i x="14" s="1" nd="1"/>
        <i x="15" s="1" nd="1"/>
        <i x="16" s="1" nd="1"/>
        <i x="17" s="1" nd="1"/>
        <i x="18" s="1" nd="1"/>
        <i x="19" s="1" nd="1"/>
        <i x="20" s="1" nd="1"/>
        <i x="21" s="1" nd="1"/>
        <i x="23" s="1" nd="1"/>
        <i x="24" s="1" nd="1"/>
        <i x="25" s="1" nd="1"/>
        <i x="1" s="1" nd="1"/>
        <i x="28" s="1" nd="1"/>
        <i x="83" s="1" nd="1"/>
        <i x="112" s="1" nd="1"/>
        <i x="141" s="1" nd="1"/>
        <i x="170" s="1" nd="1"/>
        <i x="199" s="1" nd="1"/>
        <i x="39" s="1" nd="1"/>
        <i x="41" s="1" nd="1"/>
        <i x="42" s="1" nd="1"/>
        <i x="43" s="1" nd="1"/>
        <i x="44" s="1" nd="1"/>
        <i x="45" s="1" nd="1"/>
        <i x="46" s="1" nd="1"/>
        <i x="48" s="1" nd="1"/>
        <i x="50" s="1" nd="1"/>
        <i x="51" s="1" nd="1"/>
        <i x="52" s="1" nd="1"/>
        <i x="2" s="1" nd="1"/>
        <i x="29" s="1" nd="1"/>
        <i x="55" s="1" nd="1"/>
        <i x="84" s="1" nd="1"/>
        <i x="142" s="1" nd="1"/>
        <i x="171" s="1" nd="1"/>
        <i x="200" s="1" nd="1"/>
        <i x="231" s="1" nd="1"/>
        <i x="65" s="1" nd="1"/>
        <i x="66" s="1" nd="1"/>
        <i x="67" s="1" nd="1"/>
        <i x="68" s="1" nd="1"/>
        <i x="69" s="1" nd="1"/>
        <i x="71" s="1" nd="1"/>
        <i x="73" s="1" nd="1"/>
        <i x="74" s="1" nd="1"/>
        <i x="75" s="1" nd="1"/>
        <i x="76" s="1" nd="1"/>
        <i x="77" s="1" nd="1"/>
        <i x="79" s="1" nd="1"/>
        <i x="80" s="1" nd="1"/>
        <i x="30" s="1" nd="1"/>
        <i x="85" s="1" nd="1"/>
        <i x="114" s="1" nd="1"/>
        <i x="143" s="1" nd="1"/>
        <i x="172" s="1" nd="1"/>
        <i x="201" s="1" nd="1"/>
        <i x="232" s="1" nd="1"/>
        <i x="95" s="1" nd="1"/>
        <i x="96" s="1" nd="1"/>
        <i x="97" s="1" nd="1"/>
        <i x="98" s="1" nd="1"/>
        <i x="99" s="1" nd="1"/>
        <i x="100" s="1" nd="1"/>
        <i x="102" s="1" nd="1"/>
        <i x="103" s="1" nd="1"/>
        <i x="105" s="1" nd="1"/>
        <i x="106" s="1" nd="1"/>
        <i x="107" s="1" nd="1"/>
        <i x="108" s="1" nd="1"/>
        <i x="109" s="1" nd="1"/>
        <i x="31" s="1" nd="1"/>
        <i x="57" s="1" nd="1"/>
        <i x="86" s="1" nd="1"/>
        <i x="115" s="1" nd="1"/>
        <i x="144" s="1" nd="1"/>
        <i x="173" s="1" nd="1"/>
        <i x="202" s="1" nd="1"/>
        <i x="233" s="1" nd="1"/>
        <i x="123" s="1" nd="1"/>
        <i x="125" s="1" nd="1"/>
        <i x="126" s="1" nd="1"/>
        <i x="127" s="1" nd="1"/>
        <i x="128" s="1" nd="1"/>
        <i x="129" s="1" nd="1"/>
        <i x="131" s="1" nd="1"/>
        <i x="132" s="1" nd="1"/>
        <i x="134" s="1" nd="1"/>
        <i x="135" s="1" nd="1"/>
        <i x="136" s="1" nd="1"/>
        <i x="137" s="1" nd="1"/>
        <i x="138" s="1" nd="1"/>
        <i x="4" s="1" nd="1"/>
        <i x="32" s="1" nd="1"/>
        <i x="58" s="1" nd="1"/>
        <i x="87" s="1" nd="1"/>
        <i x="145" s="1" nd="1"/>
        <i x="174" s="1" nd="1"/>
        <i x="234" s="1" nd="1"/>
        <i x="152" s="1" nd="1"/>
        <i x="153" s="1" nd="1"/>
        <i x="154" s="1" nd="1"/>
        <i x="156" s="1" nd="1"/>
        <i x="157" s="1" nd="1"/>
        <i x="158" s="1" nd="1"/>
        <i x="159" s="1" nd="1"/>
        <i x="160" s="1" nd="1"/>
        <i x="161" s="1" nd="1"/>
        <i x="162" s="1" nd="1"/>
        <i x="164" s="1" nd="1"/>
        <i x="165" s="1" nd="1"/>
        <i x="166" s="1" nd="1"/>
        <i x="167" s="1" nd="1"/>
        <i x="168" s="1" nd="1"/>
        <i x="5" s="1" nd="1"/>
        <i x="33" s="1" nd="1"/>
        <i x="88" s="1" nd="1"/>
        <i x="117" s="1" nd="1"/>
        <i x="146" s="1" nd="1"/>
        <i x="175" s="1" nd="1"/>
        <i x="204" s="1" nd="1"/>
        <i x="181" s="1" nd="1"/>
        <i x="182" s="1" nd="1"/>
        <i x="183" s="1" nd="1"/>
        <i x="184" s="1" nd="1"/>
        <i x="185" s="1" nd="1"/>
        <i x="186" s="1" nd="1"/>
        <i x="187" s="1" nd="1"/>
        <i x="188" s="1" nd="1"/>
        <i x="190" s="1" nd="1"/>
        <i x="191" s="1" nd="1"/>
        <i x="193" s="1" nd="1"/>
        <i x="194" s="1" nd="1"/>
        <i x="195" s="1" nd="1"/>
        <i x="196" s="1" nd="1"/>
        <i x="6" s="1" nd="1"/>
        <i x="34" s="1" nd="1"/>
        <i x="59" s="1" nd="1"/>
        <i x="89" s="1" nd="1"/>
        <i x="118" s="1" nd="1"/>
        <i x="176" s="1" nd="1"/>
        <i x="205" s="1" nd="1"/>
        <i x="210" s="1" nd="1"/>
        <i x="211" s="1" nd="1"/>
        <i x="212" s="1" nd="1"/>
        <i x="214" s="1" nd="1"/>
        <i x="215" s="1" nd="1"/>
        <i x="216" s="1" nd="1"/>
        <i x="218" s="1" nd="1"/>
        <i x="219" s="1" nd="1"/>
        <i x="220" s="1" nd="1"/>
        <i x="221" s="1" nd="1"/>
        <i x="222" s="1" nd="1"/>
        <i x="223" s="1" nd="1"/>
        <i x="224" s="1" nd="1"/>
        <i x="225" s="1" nd="1"/>
        <i x="226" s="1" nd="1"/>
        <i x="228" s="1" nd="1"/>
        <i x="35" s="1" nd="1"/>
        <i x="60" s="1" nd="1"/>
        <i x="90" s="1" nd="1"/>
        <i x="119" s="1" nd="1"/>
        <i x="148" s="1" nd="1"/>
        <i x="7" s="1" nd="1"/>
        <i x="36" s="1" nd="1"/>
        <i x="61" s="1" nd="1"/>
        <i x="120" s="1" nd="1"/>
        <i x="149" s="1" nd="1"/>
        <i x="178" s="1" nd="1"/>
        <i x="207" s="1" nd="1"/>
        <i x="8" s="1" nd="1"/>
        <i x="62" s="1" nd="1"/>
        <i x="121" s="1" nd="1"/>
        <i x="150" s="1" nd="1"/>
        <i x="179" s="1" nd="1"/>
        <i x="38" s="1" nd="1"/>
        <i x="63" s="1" nd="1"/>
        <i x="93" s="1" nd="1"/>
        <i x="122" s="1" nd="1"/>
        <i x="20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ài_Khoản" xr10:uid="{3186080D-45F5-484F-A48D-27D869FE944A}" sourceName="Tài_Khoản">
  <pivotTables>
    <pivotTable tabId="2" name="PivotTable3"/>
    <pivotTable tabId="2" name="PivotTable1"/>
    <pivotTable tabId="2" name="PivotTable2"/>
    <pivotTable tabId="2" name="PivotTable4"/>
  </pivotTables>
  <data>
    <tabular pivotCacheId="678018212">
      <items count="4">
        <i x="3" s="1"/>
        <i x="2"/>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ài_Khoản 1" xr10:uid="{4C9CCB75-B95E-46DC-8A08-621747A3EF58}" cache="Slicer_Tài_Khoản" caption="Tài_Khoản"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gày_GD" xr10:uid="{7264EDCC-0E46-408A-8580-94A5DCA7ED70}" cache="Slicer_Ngày_GD" caption="Ngày_GD" startItem="49" style="SlicerStyleDark4" rowHeight="241300"/>
  <slicer name="Tài_Khoản" xr10:uid="{E8E9B9F7-F2B5-472D-A4FE-D969D9AEEF0D}" cache="Slicer_Tài_Khoản" caption="Tài_Khoản"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DC9EDD-2177-4681-931C-EF0418552860}" name="Table1" displayName="Table1" ref="A1:L236" totalsRowShown="0" headerRowDxfId="0" dataDxfId="1">
  <autoFilter ref="A1:L236" xr:uid="{00000000-0009-0000-0000-000000000000}"/>
  <tableColumns count="12">
    <tableColumn id="1" xr3:uid="{B2203D44-1D3E-466D-81EB-0A64FD619E49}" name="STT" dataDxfId="13"/>
    <tableColumn id="2" xr3:uid="{A886DDCD-D662-4031-AB4D-13F0667880DC}" name="LoạiGD" dataDxfId="12"/>
    <tableColumn id="3" xr3:uid="{1161FC44-F940-4167-85B1-45222670062A}" name="Hạng Mục" dataDxfId="11"/>
    <tableColumn id="4" xr3:uid="{C5BA8B84-9CB1-4B03-AB3E-8FDDCFF65AF0}" name="Chi Tiết" dataDxfId="10"/>
    <tableColumn id="5" xr3:uid="{942B3A8B-17CD-4920-8061-827DFDE819DD}" name="Số_Tiền" dataDxfId="9"/>
    <tableColumn id="6" xr3:uid="{6F6DE4CD-DF6B-4E9F-AD40-4BAB932CFC49}" name="So_Tien_Thuc" dataDxfId="8">
      <calculatedColumnFormula>IF(TRIM(B2)="Thu", E2, -E2)</calculatedColumnFormula>
    </tableColumn>
    <tableColumn id="7" xr3:uid="{A37F4A38-AC98-48AF-959B-A124E6B85975}" name="Canh_Bao" dataDxfId="7">
      <calculatedColumnFormula>IF(AND(B2="Chi", E2&gt;2000000), "Chi tiêu lớn", "")</calculatedColumnFormula>
    </tableColumn>
    <tableColumn id="8" xr3:uid="{2AFD7403-26A3-4BEA-88DF-18994F02E76D}" name="Ngày_GD" dataDxfId="6"/>
    <tableColumn id="9" xr3:uid="{EC54B790-5160-4EAD-A4E3-19AFD86CE046}" name="Tháng" dataDxfId="5">
      <calculatedColumnFormula>MONTH(H2)</calculatedColumnFormula>
    </tableColumn>
    <tableColumn id="10" xr3:uid="{C25966C5-1A0F-4DFE-A969-91DE3E486AD7}" name="Tài_Khoản" dataDxfId="4"/>
    <tableColumn id="11" xr3:uid="{CF68BEF9-F50F-44EA-904D-24C64BFECF0C}" name="Trạng_Thái" dataDxfId="3"/>
    <tableColumn id="12" xr3:uid="{E4297073-3A67-45DA-93B5-EA9D938DA4D9}" name="Ghi_Chú" dataDxfId="2"/>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Ngày_GD" xr10:uid="{A6F0BABF-E891-4865-927E-5F9D49076017}" sourceName="Ngày_GD">
  <pivotTables>
    <pivotTable tabId="2" name="PivotTable1"/>
    <pivotTable tabId="2" name="PivotTable2"/>
    <pivotTable tabId="2" name="PivotTable3"/>
    <pivotTable tabId="2" name="PivotTable4"/>
  </pivotTables>
  <state minimalRefreshVersion="6" lastRefreshVersion="6" pivotCacheId="678018212"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Ngày_GD 2" xr10:uid="{6BF82443-072F-475C-9F5F-959FBD3A3FDC}" cache="NativeTimeline_Ngày_GD" caption="Ngày_GD" level="2" selectionLevel="2" scrollPosition="2026-06-07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Ngày_GD 1" xr10:uid="{74CC96CF-AEBB-42D7-8A92-AD0594E9497D}" cache="NativeTimeline_Ngày_GD" caption="Ngày_GD" level="2" selectionLevel="2" scrollPosition="2026-06-07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5C7E-A577-42E2-BBBD-932DB1661EB2}">
  <dimension ref="A1:Q3"/>
  <sheetViews>
    <sheetView showGridLines="0" tabSelected="1" zoomScale="60" zoomScaleNormal="60" workbookViewId="0">
      <selection activeCell="U13" sqref="U13"/>
    </sheetView>
  </sheetViews>
  <sheetFormatPr defaultRowHeight="15" x14ac:dyDescent="0.25"/>
  <cols>
    <col min="1" max="16384" width="9.140625" style="12"/>
  </cols>
  <sheetData>
    <row r="1" spans="1:17" ht="15" customHeight="1" x14ac:dyDescent="0.25">
      <c r="A1" s="13" t="s">
        <v>447</v>
      </c>
      <c r="B1" s="13"/>
      <c r="C1" s="13"/>
      <c r="D1" s="13"/>
      <c r="E1" s="13"/>
      <c r="F1" s="13"/>
      <c r="G1" s="13"/>
      <c r="H1" s="13"/>
      <c r="I1" s="13"/>
      <c r="J1" s="13"/>
      <c r="K1" s="13"/>
      <c r="L1" s="13"/>
      <c r="M1" s="13"/>
      <c r="N1" s="13"/>
      <c r="O1" s="13"/>
      <c r="P1" s="13"/>
      <c r="Q1" s="13"/>
    </row>
    <row r="2" spans="1:17" ht="15" customHeight="1" x14ac:dyDescent="0.25">
      <c r="A2" s="13"/>
      <c r="B2" s="13"/>
      <c r="C2" s="13"/>
      <c r="D2" s="13"/>
      <c r="E2" s="13"/>
      <c r="F2" s="13"/>
      <c r="G2" s="13"/>
      <c r="H2" s="13"/>
      <c r="I2" s="13"/>
      <c r="J2" s="13"/>
      <c r="K2" s="13"/>
      <c r="L2" s="13"/>
      <c r="M2" s="13"/>
      <c r="N2" s="13"/>
      <c r="O2" s="13"/>
      <c r="P2" s="13"/>
      <c r="Q2" s="13"/>
    </row>
    <row r="3" spans="1:17" ht="15" customHeight="1" x14ac:dyDescent="0.25">
      <c r="A3" s="13"/>
      <c r="B3" s="13"/>
      <c r="C3" s="13"/>
      <c r="D3" s="13"/>
      <c r="E3" s="13"/>
      <c r="F3" s="13"/>
      <c r="G3" s="13"/>
      <c r="H3" s="13"/>
      <c r="I3" s="13"/>
      <c r="J3" s="13"/>
      <c r="K3" s="13"/>
      <c r="L3" s="13"/>
      <c r="M3" s="13"/>
      <c r="N3" s="13"/>
      <c r="O3" s="13"/>
      <c r="P3" s="13"/>
      <c r="Q3" s="13"/>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17D5-26F1-4FB7-B9F5-FE112F9F1C81}">
  <dimension ref="A1:N51"/>
  <sheetViews>
    <sheetView workbookViewId="0">
      <selection activeCell="K42" sqref="K42"/>
    </sheetView>
  </sheetViews>
  <sheetFormatPr defaultRowHeight="15" x14ac:dyDescent="0.25"/>
  <cols>
    <col min="1" max="1" width="19.7109375" bestFit="1" customWidth="1"/>
    <col min="2" max="2" width="14.7109375" bestFit="1" customWidth="1"/>
    <col min="3" max="3" width="10.7109375" bestFit="1" customWidth="1"/>
    <col min="4" max="4" width="11.28515625" bestFit="1" customWidth="1"/>
    <col min="13" max="13" width="13.140625" bestFit="1" customWidth="1"/>
    <col min="14" max="14" width="20" bestFit="1" customWidth="1"/>
  </cols>
  <sheetData>
    <row r="1" spans="1:14" x14ac:dyDescent="0.25">
      <c r="A1" s="9" t="s">
        <v>444</v>
      </c>
      <c r="B1" s="9" t="s">
        <v>443</v>
      </c>
      <c r="M1" s="9" t="s">
        <v>441</v>
      </c>
      <c r="N1" t="s">
        <v>444</v>
      </c>
    </row>
    <row r="2" spans="1:14" x14ac:dyDescent="0.25">
      <c r="A2" s="9" t="s">
        <v>441</v>
      </c>
      <c r="B2" t="s">
        <v>440</v>
      </c>
      <c r="C2" t="s">
        <v>439</v>
      </c>
      <c r="D2" t="s">
        <v>442</v>
      </c>
      <c r="M2" s="10" t="s">
        <v>13</v>
      </c>
      <c r="N2" s="11">
        <v>547960000</v>
      </c>
    </row>
    <row r="3" spans="1:14" x14ac:dyDescent="0.25">
      <c r="A3" s="10">
        <v>1</v>
      </c>
      <c r="B3" s="11">
        <v>59000000</v>
      </c>
      <c r="C3" s="11">
        <v>-42000000</v>
      </c>
      <c r="D3" s="11">
        <v>17000000</v>
      </c>
      <c r="M3" s="10" t="s">
        <v>442</v>
      </c>
      <c r="N3" s="11">
        <v>547960000</v>
      </c>
    </row>
    <row r="4" spans="1:14" x14ac:dyDescent="0.25">
      <c r="A4" s="10">
        <v>2</v>
      </c>
      <c r="B4" s="11">
        <v>25000000</v>
      </c>
      <c r="C4" s="11">
        <v>-6000000</v>
      </c>
      <c r="D4" s="11">
        <v>19000000</v>
      </c>
    </row>
    <row r="5" spans="1:14" x14ac:dyDescent="0.25">
      <c r="A5" s="10">
        <v>3</v>
      </c>
      <c r="B5" s="11">
        <v>105000000</v>
      </c>
      <c r="C5" s="11">
        <v>-15600000</v>
      </c>
      <c r="D5" s="11">
        <v>89400000</v>
      </c>
    </row>
    <row r="6" spans="1:14" x14ac:dyDescent="0.25">
      <c r="A6" s="10">
        <v>4</v>
      </c>
      <c r="B6" s="11">
        <v>84200000</v>
      </c>
      <c r="C6" s="11"/>
      <c r="D6" s="11">
        <v>84200000</v>
      </c>
    </row>
    <row r="7" spans="1:14" x14ac:dyDescent="0.25">
      <c r="A7" s="10">
        <v>5</v>
      </c>
      <c r="B7" s="11">
        <v>62500000</v>
      </c>
      <c r="C7" s="11">
        <v>-500000</v>
      </c>
      <c r="D7" s="11">
        <v>62000000</v>
      </c>
    </row>
    <row r="8" spans="1:14" x14ac:dyDescent="0.25">
      <c r="A8" s="10">
        <v>6</v>
      </c>
      <c r="B8" s="11">
        <v>153000000</v>
      </c>
      <c r="C8" s="11"/>
      <c r="D8" s="11">
        <v>153000000</v>
      </c>
    </row>
    <row r="9" spans="1:14" x14ac:dyDescent="0.25">
      <c r="A9" s="10">
        <v>7</v>
      </c>
      <c r="B9" s="11">
        <v>28210000</v>
      </c>
      <c r="C9" s="11"/>
      <c r="D9" s="11">
        <v>28210000</v>
      </c>
    </row>
    <row r="10" spans="1:14" x14ac:dyDescent="0.25">
      <c r="A10" s="10">
        <v>8</v>
      </c>
      <c r="B10" s="11">
        <v>42000000</v>
      </c>
      <c r="C10" s="11"/>
      <c r="D10" s="11">
        <v>42000000</v>
      </c>
    </row>
    <row r="11" spans="1:14" x14ac:dyDescent="0.25">
      <c r="A11" s="10">
        <v>9</v>
      </c>
      <c r="B11" s="11">
        <v>50000000</v>
      </c>
      <c r="C11" s="11"/>
      <c r="D11" s="11">
        <v>50000000</v>
      </c>
    </row>
    <row r="12" spans="1:14" x14ac:dyDescent="0.25">
      <c r="A12" s="10">
        <v>10</v>
      </c>
      <c r="B12" s="11">
        <v>20000000</v>
      </c>
      <c r="C12" s="11"/>
      <c r="D12" s="11">
        <v>20000000</v>
      </c>
    </row>
    <row r="13" spans="1:14" x14ac:dyDescent="0.25">
      <c r="A13" s="10">
        <v>11</v>
      </c>
      <c r="B13" s="11">
        <v>15000000</v>
      </c>
      <c r="C13" s="11">
        <v>-50000000</v>
      </c>
      <c r="D13" s="11">
        <v>-35000000</v>
      </c>
    </row>
    <row r="14" spans="1:14" x14ac:dyDescent="0.25">
      <c r="A14" s="10">
        <v>12</v>
      </c>
      <c r="B14" s="11">
        <v>18150000</v>
      </c>
      <c r="C14" s="11"/>
      <c r="D14" s="11">
        <v>18150000</v>
      </c>
    </row>
    <row r="15" spans="1:14" x14ac:dyDescent="0.25">
      <c r="A15" s="10" t="s">
        <v>442</v>
      </c>
      <c r="B15" s="11">
        <v>662060000</v>
      </c>
      <c r="C15" s="11">
        <v>-114100000</v>
      </c>
      <c r="D15" s="11">
        <v>547960000</v>
      </c>
    </row>
    <row r="36" spans="1:14" x14ac:dyDescent="0.25">
      <c r="A36" s="9" t="s">
        <v>438</v>
      </c>
      <c r="B36" t="s">
        <v>445</v>
      </c>
    </row>
    <row r="38" spans="1:14" x14ac:dyDescent="0.25">
      <c r="A38" s="9" t="s">
        <v>441</v>
      </c>
      <c r="B38" t="s">
        <v>446</v>
      </c>
      <c r="M38" s="9" t="s">
        <v>441</v>
      </c>
      <c r="N38" t="s">
        <v>444</v>
      </c>
    </row>
    <row r="39" spans="1:14" x14ac:dyDescent="0.25">
      <c r="A39" s="10" t="s">
        <v>259</v>
      </c>
      <c r="B39" s="11">
        <v>102000000</v>
      </c>
      <c r="M39" s="10">
        <v>1</v>
      </c>
      <c r="N39" s="11">
        <v>17000000</v>
      </c>
    </row>
    <row r="40" spans="1:14" x14ac:dyDescent="0.25">
      <c r="A40" s="10" t="s">
        <v>290</v>
      </c>
      <c r="B40" s="11">
        <v>52000000</v>
      </c>
      <c r="M40" s="10">
        <v>2</v>
      </c>
      <c r="N40" s="11">
        <v>19000000</v>
      </c>
    </row>
    <row r="41" spans="1:14" x14ac:dyDescent="0.25">
      <c r="A41" s="10" t="s">
        <v>347</v>
      </c>
      <c r="B41" s="11">
        <v>50000000</v>
      </c>
      <c r="M41" s="10">
        <v>3</v>
      </c>
      <c r="N41" s="11">
        <v>89400000</v>
      </c>
    </row>
    <row r="42" spans="1:14" x14ac:dyDescent="0.25">
      <c r="A42" s="10" t="s">
        <v>312</v>
      </c>
      <c r="B42" s="11">
        <v>45000000</v>
      </c>
      <c r="M42" s="10">
        <v>4</v>
      </c>
      <c r="N42" s="11">
        <v>84200000</v>
      </c>
    </row>
    <row r="43" spans="1:14" x14ac:dyDescent="0.25">
      <c r="A43" s="10" t="s">
        <v>239</v>
      </c>
      <c r="B43" s="11">
        <v>42000000</v>
      </c>
      <c r="M43" s="10">
        <v>5</v>
      </c>
      <c r="N43" s="11">
        <v>62000000</v>
      </c>
    </row>
    <row r="44" spans="1:14" x14ac:dyDescent="0.25">
      <c r="A44" s="10" t="s">
        <v>442</v>
      </c>
      <c r="B44" s="11">
        <v>291000000</v>
      </c>
      <c r="M44" s="10">
        <v>6</v>
      </c>
      <c r="N44" s="11">
        <v>153000000</v>
      </c>
    </row>
    <row r="45" spans="1:14" x14ac:dyDescent="0.25">
      <c r="M45" s="10">
        <v>7</v>
      </c>
      <c r="N45" s="11">
        <v>28210000</v>
      </c>
    </row>
    <row r="46" spans="1:14" x14ac:dyDescent="0.25">
      <c r="M46" s="10">
        <v>8</v>
      </c>
      <c r="N46" s="11">
        <v>42000000</v>
      </c>
    </row>
    <row r="47" spans="1:14" x14ac:dyDescent="0.25">
      <c r="M47" s="10">
        <v>9</v>
      </c>
      <c r="N47" s="11">
        <v>50000000</v>
      </c>
    </row>
    <row r="48" spans="1:14" x14ac:dyDescent="0.25">
      <c r="M48" s="10">
        <v>10</v>
      </c>
      <c r="N48" s="11">
        <v>20000000</v>
      </c>
    </row>
    <row r="49" spans="13:14" x14ac:dyDescent="0.25">
      <c r="M49" s="10">
        <v>11</v>
      </c>
      <c r="N49" s="11">
        <v>-35000000</v>
      </c>
    </row>
    <row r="50" spans="13:14" x14ac:dyDescent="0.25">
      <c r="M50" s="10">
        <v>12</v>
      </c>
      <c r="N50" s="11">
        <v>18150000</v>
      </c>
    </row>
    <row r="51" spans="13:14" x14ac:dyDescent="0.25">
      <c r="M51" s="10" t="s">
        <v>442</v>
      </c>
      <c r="N51" s="11">
        <v>547960000</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81"/>
  <sheetViews>
    <sheetView workbookViewId="0">
      <selection activeCell="H8" sqref="H8"/>
    </sheetView>
  </sheetViews>
  <sheetFormatPr defaultColWidth="14.42578125" defaultRowHeight="15" customHeight="1" x14ac:dyDescent="0.25"/>
  <cols>
    <col min="1" max="1" width="8.7109375" customWidth="1"/>
    <col min="2" max="2" width="9.42578125" customWidth="1"/>
    <col min="3" max="3" width="22" customWidth="1"/>
    <col min="4" max="4" width="11.7109375" customWidth="1"/>
    <col min="5" max="5" width="13.140625" customWidth="1"/>
    <col min="6" max="6" width="15.28515625" customWidth="1"/>
    <col min="7" max="7" width="13.140625" customWidth="1"/>
    <col min="8" max="8" width="12" style="5" customWidth="1"/>
    <col min="9" max="9" width="9.140625" style="5" customWidth="1"/>
    <col min="10" max="10" width="13" customWidth="1"/>
    <col min="11" max="11" width="13.5703125" customWidth="1"/>
    <col min="12" max="12" width="23.42578125" customWidth="1"/>
    <col min="13" max="23" width="8.7109375" customWidth="1"/>
  </cols>
  <sheetData>
    <row r="1" spans="1:12" ht="14.25" customHeight="1" x14ac:dyDescent="0.25">
      <c r="A1" s="1" t="s">
        <v>0</v>
      </c>
      <c r="B1" s="1" t="s">
        <v>438</v>
      </c>
      <c r="C1" s="1" t="s">
        <v>433</v>
      </c>
      <c r="D1" s="1" t="s">
        <v>434</v>
      </c>
      <c r="E1" s="1" t="s">
        <v>1</v>
      </c>
      <c r="F1" s="8" t="s">
        <v>436</v>
      </c>
      <c r="G1" s="8" t="s">
        <v>437</v>
      </c>
      <c r="H1" s="3" t="s">
        <v>2</v>
      </c>
      <c r="I1" s="6" t="s">
        <v>435</v>
      </c>
      <c r="J1" s="1" t="s">
        <v>3</v>
      </c>
      <c r="K1" s="1" t="s">
        <v>4</v>
      </c>
      <c r="L1" s="1" t="s">
        <v>5</v>
      </c>
    </row>
    <row r="2" spans="1:12" ht="14.25" customHeight="1" x14ac:dyDescent="0.25">
      <c r="A2" s="2">
        <v>1</v>
      </c>
      <c r="B2" s="2" t="s">
        <v>439</v>
      </c>
      <c r="C2" s="2" t="s">
        <v>409</v>
      </c>
      <c r="D2" s="2" t="s">
        <v>421</v>
      </c>
      <c r="E2" s="2">
        <v>75000000</v>
      </c>
      <c r="F2" s="2">
        <f t="shared" ref="F2:F65" si="0">IF(TRIM(B2)="Thu", E2, -E2)</f>
        <v>-75000000</v>
      </c>
      <c r="G2" s="2" t="str">
        <f t="shared" ref="G2:G65" si="1">IF(AND(B2="Chi", E2&gt;2000000), "Chi tiêu lớn", "")</f>
        <v>Chi tiêu lớn</v>
      </c>
      <c r="H2" s="4">
        <v>46023</v>
      </c>
      <c r="I2" s="7">
        <f t="shared" ref="I2:I65" si="2">MONTH(H2)</f>
        <v>1</v>
      </c>
      <c r="J2" s="2" t="s">
        <v>6</v>
      </c>
      <c r="K2" s="2" t="s">
        <v>7</v>
      </c>
      <c r="L2" s="2" t="s">
        <v>8</v>
      </c>
    </row>
    <row r="3" spans="1:12" ht="14.25" customHeight="1" x14ac:dyDescent="0.25">
      <c r="A3" s="2">
        <v>2</v>
      </c>
      <c r="B3" s="2" t="s">
        <v>440</v>
      </c>
      <c r="C3" s="2" t="s">
        <v>224</v>
      </c>
      <c r="D3" s="2"/>
      <c r="E3" s="2">
        <v>5000000</v>
      </c>
      <c r="F3" s="2">
        <f t="shared" si="0"/>
        <v>5000000</v>
      </c>
      <c r="G3" s="2" t="str">
        <f t="shared" si="1"/>
        <v/>
      </c>
      <c r="H3" s="4">
        <v>46054</v>
      </c>
      <c r="I3" s="7">
        <f t="shared" si="2"/>
        <v>2</v>
      </c>
      <c r="J3" s="2" t="s">
        <v>9</v>
      </c>
      <c r="K3" s="2" t="s">
        <v>7</v>
      </c>
      <c r="L3" s="2" t="s">
        <v>10</v>
      </c>
    </row>
    <row r="4" spans="1:12" ht="14.25" customHeight="1" x14ac:dyDescent="0.25">
      <c r="A4" s="2">
        <v>3</v>
      </c>
      <c r="B4" s="2" t="s">
        <v>439</v>
      </c>
      <c r="C4" s="2" t="s">
        <v>410</v>
      </c>
      <c r="D4" s="2" t="s">
        <v>422</v>
      </c>
      <c r="E4" s="2">
        <v>45000</v>
      </c>
      <c r="F4" s="2">
        <f t="shared" si="0"/>
        <v>-45000</v>
      </c>
      <c r="G4" s="2" t="str">
        <f t="shared" si="1"/>
        <v/>
      </c>
      <c r="H4" s="4">
        <v>46082</v>
      </c>
      <c r="I4" s="7">
        <f t="shared" si="2"/>
        <v>3</v>
      </c>
      <c r="J4" s="2" t="s">
        <v>11</v>
      </c>
      <c r="K4" s="2" t="s">
        <v>7</v>
      </c>
      <c r="L4" s="2" t="s">
        <v>12</v>
      </c>
    </row>
    <row r="5" spans="1:12" ht="14.25" customHeight="1" x14ac:dyDescent="0.25">
      <c r="A5" s="2">
        <v>5</v>
      </c>
      <c r="B5" s="2" t="s">
        <v>440</v>
      </c>
      <c r="C5" s="2" t="s">
        <v>225</v>
      </c>
      <c r="D5" s="2"/>
      <c r="E5" s="2">
        <v>25000000</v>
      </c>
      <c r="F5" s="2">
        <f t="shared" si="0"/>
        <v>25000000</v>
      </c>
      <c r="G5" s="2" t="str">
        <f t="shared" si="1"/>
        <v/>
      </c>
      <c r="H5" s="4">
        <v>46143</v>
      </c>
      <c r="I5" s="7">
        <f t="shared" si="2"/>
        <v>5</v>
      </c>
      <c r="J5" s="2" t="s">
        <v>13</v>
      </c>
      <c r="K5" s="2" t="s">
        <v>7</v>
      </c>
      <c r="L5" s="2" t="s">
        <v>14</v>
      </c>
    </row>
    <row r="6" spans="1:12" ht="14.25" customHeight="1" x14ac:dyDescent="0.25">
      <c r="A6" s="2">
        <v>6</v>
      </c>
      <c r="B6" s="2" t="s">
        <v>439</v>
      </c>
      <c r="C6" s="2" t="s">
        <v>226</v>
      </c>
      <c r="D6" s="2"/>
      <c r="E6" s="2">
        <v>120000</v>
      </c>
      <c r="F6" s="2">
        <f t="shared" si="0"/>
        <v>-120000</v>
      </c>
      <c r="G6" s="2" t="str">
        <f t="shared" si="1"/>
        <v/>
      </c>
      <c r="H6" s="4">
        <v>46174</v>
      </c>
      <c r="I6" s="7">
        <f t="shared" si="2"/>
        <v>6</v>
      </c>
      <c r="J6" s="2" t="s">
        <v>9</v>
      </c>
      <c r="K6" s="2" t="s">
        <v>7</v>
      </c>
      <c r="L6" s="2" t="s">
        <v>15</v>
      </c>
    </row>
    <row r="7" spans="1:12" ht="14.25" customHeight="1" x14ac:dyDescent="0.25">
      <c r="A7" s="2">
        <v>7</v>
      </c>
      <c r="B7" s="2" t="s">
        <v>439</v>
      </c>
      <c r="C7" s="2" t="s">
        <v>227</v>
      </c>
      <c r="D7" s="2"/>
      <c r="E7" s="2">
        <v>80000</v>
      </c>
      <c r="F7" s="2">
        <f t="shared" si="0"/>
        <v>-80000</v>
      </c>
      <c r="G7" s="2" t="str">
        <f t="shared" si="1"/>
        <v/>
      </c>
      <c r="H7" s="4">
        <v>46204</v>
      </c>
      <c r="I7" s="7">
        <f t="shared" si="2"/>
        <v>7</v>
      </c>
      <c r="J7" s="2" t="s">
        <v>11</v>
      </c>
      <c r="K7" s="2" t="s">
        <v>7</v>
      </c>
      <c r="L7" s="2" t="s">
        <v>16</v>
      </c>
    </row>
    <row r="8" spans="1:12" ht="14.25" customHeight="1" x14ac:dyDescent="0.25">
      <c r="A8" s="2">
        <v>8</v>
      </c>
      <c r="B8" s="2" t="s">
        <v>439</v>
      </c>
      <c r="C8" s="2" t="s">
        <v>228</v>
      </c>
      <c r="D8" s="2"/>
      <c r="E8" s="2">
        <v>15000000</v>
      </c>
      <c r="F8" s="2">
        <f t="shared" si="0"/>
        <v>-15000000</v>
      </c>
      <c r="G8" s="2" t="str">
        <f t="shared" si="1"/>
        <v>Chi tiêu lớn</v>
      </c>
      <c r="H8" s="4">
        <v>46235</v>
      </c>
      <c r="I8" s="7">
        <f t="shared" si="2"/>
        <v>8</v>
      </c>
      <c r="J8" s="2" t="s">
        <v>6</v>
      </c>
      <c r="K8" s="2" t="s">
        <v>7</v>
      </c>
      <c r="L8" s="2" t="s">
        <v>17</v>
      </c>
    </row>
    <row r="9" spans="1:12" ht="14.25" customHeight="1" x14ac:dyDescent="0.25">
      <c r="A9" s="2">
        <v>10</v>
      </c>
      <c r="B9" s="2" t="s">
        <v>439</v>
      </c>
      <c r="C9" s="2" t="s">
        <v>229</v>
      </c>
      <c r="D9" s="2"/>
      <c r="E9" s="2">
        <v>500000</v>
      </c>
      <c r="F9" s="2">
        <f t="shared" si="0"/>
        <v>-500000</v>
      </c>
      <c r="G9" s="2" t="str">
        <f t="shared" si="1"/>
        <v/>
      </c>
      <c r="H9" s="4">
        <v>46296</v>
      </c>
      <c r="I9" s="7">
        <f t="shared" si="2"/>
        <v>10</v>
      </c>
      <c r="J9" s="2" t="s">
        <v>11</v>
      </c>
      <c r="K9" s="2" t="s">
        <v>7</v>
      </c>
      <c r="L9" s="2" t="s">
        <v>18</v>
      </c>
    </row>
    <row r="10" spans="1:12" ht="14.25" customHeight="1" x14ac:dyDescent="0.25">
      <c r="A10" s="2">
        <v>11</v>
      </c>
      <c r="B10" s="2" t="s">
        <v>439</v>
      </c>
      <c r="C10" s="2" t="s">
        <v>411</v>
      </c>
      <c r="D10" s="2" t="s">
        <v>423</v>
      </c>
      <c r="E10" s="2">
        <v>850000</v>
      </c>
      <c r="F10" s="2">
        <f t="shared" si="0"/>
        <v>-850000</v>
      </c>
      <c r="G10" s="2" t="str">
        <f t="shared" si="1"/>
        <v/>
      </c>
      <c r="H10" s="4">
        <v>46327</v>
      </c>
      <c r="I10" s="7">
        <f t="shared" si="2"/>
        <v>11</v>
      </c>
      <c r="J10" s="2" t="s">
        <v>6</v>
      </c>
      <c r="K10" s="2" t="s">
        <v>7</v>
      </c>
      <c r="L10" s="2" t="s">
        <v>19</v>
      </c>
    </row>
    <row r="11" spans="1:12" ht="14.25" customHeight="1" x14ac:dyDescent="0.25">
      <c r="A11" s="2">
        <v>12</v>
      </c>
      <c r="B11" s="2" t="s">
        <v>440</v>
      </c>
      <c r="C11" s="2" t="s">
        <v>230</v>
      </c>
      <c r="D11" s="2"/>
      <c r="E11" s="2">
        <v>10000000</v>
      </c>
      <c r="F11" s="2">
        <f t="shared" si="0"/>
        <v>10000000</v>
      </c>
      <c r="G11" s="2" t="str">
        <f t="shared" si="1"/>
        <v/>
      </c>
      <c r="H11" s="4">
        <v>46357</v>
      </c>
      <c r="I11" s="7">
        <f t="shared" si="2"/>
        <v>12</v>
      </c>
      <c r="J11" s="2" t="s">
        <v>13</v>
      </c>
      <c r="K11" s="2" t="s">
        <v>7</v>
      </c>
      <c r="L11" s="2" t="s">
        <v>20</v>
      </c>
    </row>
    <row r="12" spans="1:12" ht="14.25" customHeight="1" x14ac:dyDescent="0.25">
      <c r="A12" s="2">
        <v>13</v>
      </c>
      <c r="B12" s="2" t="s">
        <v>439</v>
      </c>
      <c r="C12" s="2" t="s">
        <v>231</v>
      </c>
      <c r="D12" s="2"/>
      <c r="E12" s="2">
        <v>150000</v>
      </c>
      <c r="F12" s="2">
        <f t="shared" si="0"/>
        <v>-150000</v>
      </c>
      <c r="G12" s="2" t="str">
        <f t="shared" si="1"/>
        <v/>
      </c>
      <c r="H12" s="4">
        <v>46035</v>
      </c>
      <c r="I12" s="7">
        <f t="shared" si="2"/>
        <v>1</v>
      </c>
      <c r="J12" s="2" t="s">
        <v>11</v>
      </c>
      <c r="K12" s="2" t="s">
        <v>7</v>
      </c>
      <c r="L12" s="2" t="s">
        <v>21</v>
      </c>
    </row>
    <row r="13" spans="1:12" ht="14.25" customHeight="1" x14ac:dyDescent="0.25">
      <c r="A13" s="2">
        <v>14</v>
      </c>
      <c r="B13" s="2" t="s">
        <v>439</v>
      </c>
      <c r="C13" s="2" t="s">
        <v>412</v>
      </c>
      <c r="D13" s="2" t="s">
        <v>178</v>
      </c>
      <c r="E13" s="2">
        <v>250000</v>
      </c>
      <c r="F13" s="2">
        <f t="shared" si="0"/>
        <v>-250000</v>
      </c>
      <c r="G13" s="2" t="str">
        <f t="shared" si="1"/>
        <v/>
      </c>
      <c r="H13" s="4">
        <v>46036</v>
      </c>
      <c r="I13" s="7">
        <f t="shared" si="2"/>
        <v>1</v>
      </c>
      <c r="J13" s="2" t="s">
        <v>9</v>
      </c>
      <c r="K13" s="2" t="s">
        <v>7</v>
      </c>
      <c r="L13" s="2" t="s">
        <v>22</v>
      </c>
    </row>
    <row r="14" spans="1:12" ht="14.25" customHeight="1" x14ac:dyDescent="0.25">
      <c r="A14" s="2">
        <v>15</v>
      </c>
      <c r="B14" s="2" t="s">
        <v>439</v>
      </c>
      <c r="C14" s="2" t="s">
        <v>232</v>
      </c>
      <c r="D14" s="2"/>
      <c r="E14" s="2">
        <v>550000</v>
      </c>
      <c r="F14" s="2">
        <f t="shared" si="0"/>
        <v>-550000</v>
      </c>
      <c r="G14" s="2" t="str">
        <f t="shared" si="1"/>
        <v/>
      </c>
      <c r="H14" s="4">
        <v>46037</v>
      </c>
      <c r="I14" s="7">
        <f t="shared" si="2"/>
        <v>1</v>
      </c>
      <c r="J14" s="2" t="s">
        <v>6</v>
      </c>
      <c r="K14" s="2" t="s">
        <v>7</v>
      </c>
      <c r="L14" s="2" t="s">
        <v>23</v>
      </c>
    </row>
    <row r="15" spans="1:12" ht="14.25" customHeight="1" x14ac:dyDescent="0.25">
      <c r="A15" s="2">
        <v>16</v>
      </c>
      <c r="B15" s="2" t="s">
        <v>440</v>
      </c>
      <c r="C15" s="2" t="s">
        <v>233</v>
      </c>
      <c r="D15" s="2"/>
      <c r="E15" s="2">
        <v>12000000</v>
      </c>
      <c r="F15" s="2">
        <f t="shared" si="0"/>
        <v>12000000</v>
      </c>
      <c r="G15" s="2" t="str">
        <f t="shared" si="1"/>
        <v/>
      </c>
      <c r="H15" s="4">
        <v>46038</v>
      </c>
      <c r="I15" s="7">
        <f t="shared" si="2"/>
        <v>1</v>
      </c>
      <c r="J15" s="2" t="s">
        <v>13</v>
      </c>
      <c r="K15" s="2" t="s">
        <v>7</v>
      </c>
      <c r="L15" s="2" t="s">
        <v>24</v>
      </c>
    </row>
    <row r="16" spans="1:12" ht="14.25" customHeight="1" x14ac:dyDescent="0.25">
      <c r="A16" s="2">
        <v>17</v>
      </c>
      <c r="B16" s="2" t="s">
        <v>439</v>
      </c>
      <c r="C16" s="2" t="s">
        <v>234</v>
      </c>
      <c r="D16" s="2"/>
      <c r="E16" s="2">
        <v>110000</v>
      </c>
      <c r="F16" s="2">
        <f t="shared" si="0"/>
        <v>-110000</v>
      </c>
      <c r="G16" s="2" t="str">
        <f t="shared" si="1"/>
        <v/>
      </c>
      <c r="H16" s="4">
        <v>46039</v>
      </c>
      <c r="I16" s="7">
        <f t="shared" si="2"/>
        <v>1</v>
      </c>
      <c r="J16" s="2" t="s">
        <v>9</v>
      </c>
      <c r="K16" s="2" t="s">
        <v>7</v>
      </c>
      <c r="L16" s="2" t="s">
        <v>25</v>
      </c>
    </row>
    <row r="17" spans="1:12" ht="14.25" customHeight="1" x14ac:dyDescent="0.25">
      <c r="A17" s="2">
        <v>18</v>
      </c>
      <c r="B17" s="2" t="s">
        <v>439</v>
      </c>
      <c r="C17" s="2" t="s">
        <v>413</v>
      </c>
      <c r="D17" s="2" t="s">
        <v>424</v>
      </c>
      <c r="E17" s="2">
        <v>320000</v>
      </c>
      <c r="F17" s="2">
        <f t="shared" si="0"/>
        <v>-320000</v>
      </c>
      <c r="G17" s="2" t="str">
        <f t="shared" si="1"/>
        <v/>
      </c>
      <c r="H17" s="4">
        <v>46040</v>
      </c>
      <c r="I17" s="7">
        <f t="shared" si="2"/>
        <v>1</v>
      </c>
      <c r="J17" s="2" t="s">
        <v>6</v>
      </c>
      <c r="K17" s="2" t="s">
        <v>7</v>
      </c>
      <c r="L17" s="2" t="s">
        <v>26</v>
      </c>
    </row>
    <row r="18" spans="1:12" ht="14.25" customHeight="1" x14ac:dyDescent="0.25">
      <c r="A18" s="2">
        <v>19</v>
      </c>
      <c r="B18" s="2" t="s">
        <v>439</v>
      </c>
      <c r="C18" s="2" t="s">
        <v>235</v>
      </c>
      <c r="D18" s="2"/>
      <c r="E18" s="2">
        <v>85000</v>
      </c>
      <c r="F18" s="2">
        <f t="shared" si="0"/>
        <v>-85000</v>
      </c>
      <c r="G18" s="2" t="str">
        <f t="shared" si="1"/>
        <v/>
      </c>
      <c r="H18" s="4">
        <v>46041</v>
      </c>
      <c r="I18" s="7">
        <f t="shared" si="2"/>
        <v>1</v>
      </c>
      <c r="J18" s="2" t="s">
        <v>11</v>
      </c>
      <c r="K18" s="2" t="s">
        <v>7</v>
      </c>
      <c r="L18" s="2" t="s">
        <v>27</v>
      </c>
    </row>
    <row r="19" spans="1:12" ht="14.25" customHeight="1" x14ac:dyDescent="0.25">
      <c r="A19" s="2">
        <v>20</v>
      </c>
      <c r="B19" s="2" t="s">
        <v>440</v>
      </c>
      <c r="C19" s="2" t="s">
        <v>414</v>
      </c>
      <c r="D19" s="2" t="s">
        <v>425</v>
      </c>
      <c r="E19" s="2">
        <v>150000</v>
      </c>
      <c r="F19" s="2">
        <f t="shared" si="0"/>
        <v>150000</v>
      </c>
      <c r="G19" s="2" t="str">
        <f t="shared" si="1"/>
        <v/>
      </c>
      <c r="H19" s="4">
        <v>46042</v>
      </c>
      <c r="I19" s="7">
        <f t="shared" si="2"/>
        <v>1</v>
      </c>
      <c r="J19" s="2" t="s">
        <v>9</v>
      </c>
      <c r="K19" s="2" t="s">
        <v>7</v>
      </c>
      <c r="L19" s="2" t="s">
        <v>28</v>
      </c>
    </row>
    <row r="20" spans="1:12" ht="14.25" customHeight="1" x14ac:dyDescent="0.25">
      <c r="A20" s="2">
        <v>21</v>
      </c>
      <c r="B20" s="2" t="s">
        <v>439</v>
      </c>
      <c r="C20" s="2" t="s">
        <v>236</v>
      </c>
      <c r="D20" s="2"/>
      <c r="E20" s="2">
        <v>260000</v>
      </c>
      <c r="F20" s="2">
        <f t="shared" si="0"/>
        <v>-260000</v>
      </c>
      <c r="G20" s="2" t="str">
        <f t="shared" si="1"/>
        <v/>
      </c>
      <c r="H20" s="4">
        <v>46043</v>
      </c>
      <c r="I20" s="7">
        <f t="shared" si="2"/>
        <v>1</v>
      </c>
      <c r="J20" s="2" t="s">
        <v>6</v>
      </c>
      <c r="K20" s="2" t="s">
        <v>7</v>
      </c>
      <c r="L20" s="2" t="s">
        <v>29</v>
      </c>
    </row>
    <row r="21" spans="1:12" ht="14.25" customHeight="1" x14ac:dyDescent="0.25">
      <c r="A21" s="2">
        <v>22</v>
      </c>
      <c r="B21" s="2" t="s">
        <v>439</v>
      </c>
      <c r="C21" s="2" t="s">
        <v>237</v>
      </c>
      <c r="D21" s="2"/>
      <c r="E21" s="2">
        <v>400000</v>
      </c>
      <c r="F21" s="2">
        <f t="shared" si="0"/>
        <v>-400000</v>
      </c>
      <c r="G21" s="2" t="str">
        <f t="shared" si="1"/>
        <v/>
      </c>
      <c r="H21" s="4">
        <v>46044</v>
      </c>
      <c r="I21" s="7">
        <f t="shared" si="2"/>
        <v>1</v>
      </c>
      <c r="J21" s="2" t="s">
        <v>11</v>
      </c>
      <c r="K21" s="2" t="s">
        <v>7</v>
      </c>
      <c r="L21" s="2" t="s">
        <v>30</v>
      </c>
    </row>
    <row r="22" spans="1:12" ht="14.25" customHeight="1" x14ac:dyDescent="0.25">
      <c r="A22" s="2">
        <v>23</v>
      </c>
      <c r="B22" s="2" t="s">
        <v>440</v>
      </c>
      <c r="C22" s="2" t="s">
        <v>238</v>
      </c>
      <c r="D22" s="2"/>
      <c r="E22" s="2">
        <v>1000000</v>
      </c>
      <c r="F22" s="2">
        <f t="shared" si="0"/>
        <v>1000000</v>
      </c>
      <c r="G22" s="2" t="str">
        <f t="shared" si="1"/>
        <v/>
      </c>
      <c r="H22" s="4">
        <v>46045</v>
      </c>
      <c r="I22" s="7">
        <f t="shared" si="2"/>
        <v>1</v>
      </c>
      <c r="J22" s="2" t="s">
        <v>11</v>
      </c>
      <c r="K22" s="2" t="s">
        <v>7</v>
      </c>
      <c r="L22" s="2" t="s">
        <v>31</v>
      </c>
    </row>
    <row r="23" spans="1:12" ht="14.25" customHeight="1" x14ac:dyDescent="0.25">
      <c r="A23" s="2">
        <v>24</v>
      </c>
      <c r="B23" s="2" t="s">
        <v>439</v>
      </c>
      <c r="C23" s="2" t="s">
        <v>415</v>
      </c>
      <c r="D23" s="2" t="s">
        <v>426</v>
      </c>
      <c r="E23" s="2">
        <v>25000000</v>
      </c>
      <c r="F23" s="2">
        <f t="shared" si="0"/>
        <v>-25000000</v>
      </c>
      <c r="G23" s="2" t="str">
        <f t="shared" si="1"/>
        <v>Chi tiêu lớn</v>
      </c>
      <c r="H23" s="4">
        <v>46046</v>
      </c>
      <c r="I23" s="7">
        <f t="shared" si="2"/>
        <v>1</v>
      </c>
      <c r="J23" s="2" t="s">
        <v>6</v>
      </c>
      <c r="K23" s="2" t="s">
        <v>7</v>
      </c>
      <c r="L23" s="2" t="s">
        <v>32</v>
      </c>
    </row>
    <row r="24" spans="1:12" ht="14.25" customHeight="1" x14ac:dyDescent="0.25">
      <c r="A24" s="2">
        <v>25</v>
      </c>
      <c r="B24" s="2" t="s">
        <v>439</v>
      </c>
      <c r="C24" s="2" t="s">
        <v>239</v>
      </c>
      <c r="D24" s="2"/>
      <c r="E24" s="2">
        <v>42000000</v>
      </c>
      <c r="F24" s="2">
        <f t="shared" si="0"/>
        <v>-42000000</v>
      </c>
      <c r="G24" s="2" t="str">
        <f t="shared" si="1"/>
        <v>Chi tiêu lớn</v>
      </c>
      <c r="H24" s="4">
        <v>46047</v>
      </c>
      <c r="I24" s="7">
        <f t="shared" si="2"/>
        <v>1</v>
      </c>
      <c r="J24" s="2" t="s">
        <v>13</v>
      </c>
      <c r="K24" s="2" t="s">
        <v>7</v>
      </c>
      <c r="L24" s="2" t="s">
        <v>33</v>
      </c>
    </row>
    <row r="25" spans="1:12" ht="14.25" customHeight="1" x14ac:dyDescent="0.25">
      <c r="A25" s="2">
        <v>26</v>
      </c>
      <c r="B25" s="2" t="s">
        <v>439</v>
      </c>
      <c r="C25" s="2" t="s">
        <v>240</v>
      </c>
      <c r="D25" s="2"/>
      <c r="E25" s="2">
        <v>55000</v>
      </c>
      <c r="F25" s="2">
        <f t="shared" si="0"/>
        <v>-55000</v>
      </c>
      <c r="G25" s="2" t="str">
        <f t="shared" si="1"/>
        <v/>
      </c>
      <c r="H25" s="4">
        <v>46048</v>
      </c>
      <c r="I25" s="7">
        <f t="shared" si="2"/>
        <v>1</v>
      </c>
      <c r="J25" s="2" t="s">
        <v>9</v>
      </c>
      <c r="K25" s="2" t="s">
        <v>7</v>
      </c>
      <c r="L25" s="2" t="s">
        <v>34</v>
      </c>
    </row>
    <row r="26" spans="1:12" ht="14.25" customHeight="1" x14ac:dyDescent="0.25">
      <c r="A26" s="2">
        <v>27</v>
      </c>
      <c r="B26" s="2" t="s">
        <v>440</v>
      </c>
      <c r="C26" s="2" t="s">
        <v>241</v>
      </c>
      <c r="D26" s="2"/>
      <c r="E26" s="2">
        <v>500000</v>
      </c>
      <c r="F26" s="2">
        <f t="shared" si="0"/>
        <v>500000</v>
      </c>
      <c r="G26" s="2" t="str">
        <f t="shared" si="1"/>
        <v/>
      </c>
      <c r="H26" s="4">
        <v>46049</v>
      </c>
      <c r="I26" s="7">
        <f t="shared" si="2"/>
        <v>1</v>
      </c>
      <c r="J26" s="2" t="s">
        <v>11</v>
      </c>
      <c r="K26" s="2" t="s">
        <v>7</v>
      </c>
      <c r="L26" s="2" t="s">
        <v>35</v>
      </c>
    </row>
    <row r="27" spans="1:12" ht="14.25" customHeight="1" x14ac:dyDescent="0.25">
      <c r="A27" s="2">
        <v>29</v>
      </c>
      <c r="B27" s="2" t="s">
        <v>439</v>
      </c>
      <c r="C27" s="2" t="s">
        <v>242</v>
      </c>
      <c r="D27" s="2"/>
      <c r="E27" s="2">
        <v>350000</v>
      </c>
      <c r="F27" s="2">
        <f t="shared" si="0"/>
        <v>-350000</v>
      </c>
      <c r="G27" s="2" t="str">
        <f t="shared" si="1"/>
        <v/>
      </c>
      <c r="H27" s="4">
        <v>46051</v>
      </c>
      <c r="I27" s="7">
        <f t="shared" si="2"/>
        <v>1</v>
      </c>
      <c r="J27" s="2" t="s">
        <v>9</v>
      </c>
      <c r="K27" s="2" t="s">
        <v>7</v>
      </c>
      <c r="L27" s="2" t="s">
        <v>36</v>
      </c>
    </row>
    <row r="28" spans="1:12" ht="14.25" customHeight="1" x14ac:dyDescent="0.25">
      <c r="A28" s="2">
        <v>30</v>
      </c>
      <c r="B28" s="2" t="s">
        <v>440</v>
      </c>
      <c r="C28" s="2" t="s">
        <v>243</v>
      </c>
      <c r="D28" s="2"/>
      <c r="E28" s="2">
        <v>22000000</v>
      </c>
      <c r="F28" s="2">
        <f t="shared" si="0"/>
        <v>22000000</v>
      </c>
      <c r="G28" s="2" t="str">
        <f t="shared" si="1"/>
        <v/>
      </c>
      <c r="H28" s="4">
        <v>46052</v>
      </c>
      <c r="I28" s="7">
        <f t="shared" si="2"/>
        <v>1</v>
      </c>
      <c r="J28" s="2" t="s">
        <v>13</v>
      </c>
      <c r="K28" s="2" t="s">
        <v>7</v>
      </c>
      <c r="L28" s="2" t="s">
        <v>37</v>
      </c>
    </row>
    <row r="29" spans="1:12" ht="14.25" customHeight="1" x14ac:dyDescent="0.25">
      <c r="A29" s="2">
        <v>31</v>
      </c>
      <c r="B29" s="2" t="s">
        <v>439</v>
      </c>
      <c r="C29" s="2" t="s">
        <v>244</v>
      </c>
      <c r="D29" s="2"/>
      <c r="E29" s="2">
        <v>2000000</v>
      </c>
      <c r="F29" s="2">
        <f t="shared" si="0"/>
        <v>-2000000</v>
      </c>
      <c r="G29" s="2" t="str">
        <f t="shared" si="1"/>
        <v/>
      </c>
      <c r="H29" s="4">
        <v>46024</v>
      </c>
      <c r="I29" s="7">
        <f t="shared" si="2"/>
        <v>1</v>
      </c>
      <c r="J29" s="2" t="s">
        <v>11</v>
      </c>
      <c r="K29" s="2" t="s">
        <v>7</v>
      </c>
      <c r="L29" s="2" t="s">
        <v>38</v>
      </c>
    </row>
    <row r="30" spans="1:12" ht="14.25" customHeight="1" x14ac:dyDescent="0.25">
      <c r="A30" s="2">
        <v>32</v>
      </c>
      <c r="B30" s="2" t="s">
        <v>439</v>
      </c>
      <c r="C30" s="2" t="s">
        <v>245</v>
      </c>
      <c r="D30" s="2"/>
      <c r="E30" s="2">
        <v>5000000</v>
      </c>
      <c r="F30" s="2">
        <f t="shared" si="0"/>
        <v>-5000000</v>
      </c>
      <c r="G30" s="2" t="str">
        <f t="shared" si="1"/>
        <v>Chi tiêu lớn</v>
      </c>
      <c r="H30" s="4">
        <v>46055</v>
      </c>
      <c r="I30" s="7">
        <f t="shared" si="2"/>
        <v>2</v>
      </c>
      <c r="J30" s="2" t="s">
        <v>11</v>
      </c>
      <c r="K30" s="2" t="s">
        <v>7</v>
      </c>
      <c r="L30" s="2" t="s">
        <v>39</v>
      </c>
    </row>
    <row r="31" spans="1:12" ht="14.25" customHeight="1" x14ac:dyDescent="0.25">
      <c r="A31" s="2">
        <v>33</v>
      </c>
      <c r="B31" s="2" t="s">
        <v>439</v>
      </c>
      <c r="C31" s="2" t="s">
        <v>246</v>
      </c>
      <c r="D31" s="2"/>
      <c r="E31" s="2">
        <v>15000000</v>
      </c>
      <c r="F31" s="2">
        <f t="shared" si="0"/>
        <v>-15000000</v>
      </c>
      <c r="G31" s="2" t="str">
        <f t="shared" si="1"/>
        <v>Chi tiêu lớn</v>
      </c>
      <c r="H31" s="4">
        <v>46083</v>
      </c>
      <c r="I31" s="7">
        <f t="shared" si="2"/>
        <v>3</v>
      </c>
      <c r="J31" s="2" t="s">
        <v>11</v>
      </c>
      <c r="K31" s="2" t="s">
        <v>7</v>
      </c>
      <c r="L31" s="2" t="s">
        <v>40</v>
      </c>
    </row>
    <row r="32" spans="1:12" ht="14.25" customHeight="1" x14ac:dyDescent="0.25">
      <c r="A32" s="2">
        <v>34</v>
      </c>
      <c r="B32" s="2" t="s">
        <v>440</v>
      </c>
      <c r="C32" s="2" t="s">
        <v>247</v>
      </c>
      <c r="D32" s="2"/>
      <c r="E32" s="2">
        <v>3000000</v>
      </c>
      <c r="F32" s="2">
        <f t="shared" si="0"/>
        <v>3000000</v>
      </c>
      <c r="G32" s="2" t="str">
        <f t="shared" si="1"/>
        <v/>
      </c>
      <c r="H32" s="4">
        <v>46114</v>
      </c>
      <c r="I32" s="7">
        <f t="shared" si="2"/>
        <v>4</v>
      </c>
      <c r="J32" s="2" t="s">
        <v>9</v>
      </c>
      <c r="K32" s="2" t="s">
        <v>7</v>
      </c>
      <c r="L32" s="2" t="s">
        <v>41</v>
      </c>
    </row>
    <row r="33" spans="1:12" ht="14.25" customHeight="1" x14ac:dyDescent="0.25">
      <c r="A33" s="2">
        <v>35</v>
      </c>
      <c r="B33" s="2" t="s">
        <v>439</v>
      </c>
      <c r="C33" s="2" t="s">
        <v>248</v>
      </c>
      <c r="D33" s="2"/>
      <c r="E33" s="2">
        <v>200000</v>
      </c>
      <c r="F33" s="2">
        <f t="shared" si="0"/>
        <v>-200000</v>
      </c>
      <c r="G33" s="2" t="str">
        <f t="shared" si="1"/>
        <v/>
      </c>
      <c r="H33" s="4">
        <v>46144</v>
      </c>
      <c r="I33" s="7">
        <f t="shared" si="2"/>
        <v>5</v>
      </c>
      <c r="J33" s="2" t="s">
        <v>11</v>
      </c>
      <c r="K33" s="2" t="s">
        <v>7</v>
      </c>
      <c r="L33" s="2" t="s">
        <v>42</v>
      </c>
    </row>
    <row r="34" spans="1:12" ht="14.25" customHeight="1" x14ac:dyDescent="0.25">
      <c r="A34" s="2">
        <v>36</v>
      </c>
      <c r="B34" s="2" t="s">
        <v>439</v>
      </c>
      <c r="C34" s="2" t="s">
        <v>249</v>
      </c>
      <c r="D34" s="2"/>
      <c r="E34" s="2">
        <v>90000</v>
      </c>
      <c r="F34" s="2">
        <f t="shared" si="0"/>
        <v>-90000</v>
      </c>
      <c r="G34" s="2" t="str">
        <f t="shared" si="1"/>
        <v/>
      </c>
      <c r="H34" s="4">
        <v>46175</v>
      </c>
      <c r="I34" s="7">
        <f t="shared" si="2"/>
        <v>6</v>
      </c>
      <c r="J34" s="2" t="s">
        <v>9</v>
      </c>
      <c r="K34" s="2" t="s">
        <v>7</v>
      </c>
      <c r="L34" s="2" t="s">
        <v>43</v>
      </c>
    </row>
    <row r="35" spans="1:12" ht="14.25" customHeight="1" x14ac:dyDescent="0.25">
      <c r="A35" s="2">
        <v>37</v>
      </c>
      <c r="B35" s="2" t="s">
        <v>439</v>
      </c>
      <c r="C35" s="2" t="s">
        <v>227</v>
      </c>
      <c r="D35" s="2"/>
      <c r="E35" s="2">
        <v>75000</v>
      </c>
      <c r="F35" s="2">
        <f t="shared" si="0"/>
        <v>-75000</v>
      </c>
      <c r="G35" s="2" t="str">
        <f t="shared" si="1"/>
        <v/>
      </c>
      <c r="H35" s="4">
        <v>46205</v>
      </c>
      <c r="I35" s="7">
        <f t="shared" si="2"/>
        <v>7</v>
      </c>
      <c r="J35" s="2" t="s">
        <v>11</v>
      </c>
      <c r="K35" s="2" t="s">
        <v>7</v>
      </c>
      <c r="L35" s="2" t="s">
        <v>44</v>
      </c>
    </row>
    <row r="36" spans="1:12" ht="14.25" customHeight="1" x14ac:dyDescent="0.25">
      <c r="A36" s="2">
        <v>38</v>
      </c>
      <c r="B36" s="2" t="s">
        <v>440</v>
      </c>
      <c r="C36" s="2" t="s">
        <v>250</v>
      </c>
      <c r="D36" s="2"/>
      <c r="E36" s="2">
        <v>25000000</v>
      </c>
      <c r="F36" s="2">
        <f t="shared" si="0"/>
        <v>25000000</v>
      </c>
      <c r="G36" s="2" t="str">
        <f t="shared" si="1"/>
        <v/>
      </c>
      <c r="H36" s="4">
        <v>46236</v>
      </c>
      <c r="I36" s="7">
        <f t="shared" si="2"/>
        <v>8</v>
      </c>
      <c r="J36" s="2" t="s">
        <v>6</v>
      </c>
      <c r="K36" s="2" t="s">
        <v>7</v>
      </c>
      <c r="L36" s="2" t="s">
        <v>45</v>
      </c>
    </row>
    <row r="37" spans="1:12" ht="14.25" customHeight="1" x14ac:dyDescent="0.25">
      <c r="A37" s="2">
        <v>39</v>
      </c>
      <c r="B37" s="2" t="s">
        <v>439</v>
      </c>
      <c r="C37" s="2" t="s">
        <v>251</v>
      </c>
      <c r="D37" s="2"/>
      <c r="E37" s="2">
        <v>120000</v>
      </c>
      <c r="F37" s="2">
        <f t="shared" si="0"/>
        <v>-120000</v>
      </c>
      <c r="G37" s="2" t="str">
        <f t="shared" si="1"/>
        <v/>
      </c>
      <c r="H37" s="4">
        <v>46267</v>
      </c>
      <c r="I37" s="7">
        <f t="shared" si="2"/>
        <v>9</v>
      </c>
      <c r="J37" s="2" t="s">
        <v>9</v>
      </c>
      <c r="K37" s="2" t="s">
        <v>7</v>
      </c>
      <c r="L37" s="2" t="s">
        <v>46</v>
      </c>
    </row>
    <row r="38" spans="1:12" ht="14.25" customHeight="1" x14ac:dyDescent="0.25">
      <c r="A38" s="2">
        <v>40</v>
      </c>
      <c r="B38" s="2" t="s">
        <v>439</v>
      </c>
      <c r="C38" s="2" t="s">
        <v>416</v>
      </c>
      <c r="D38" s="2" t="s">
        <v>427</v>
      </c>
      <c r="E38" s="2">
        <v>600000</v>
      </c>
      <c r="F38" s="2">
        <f t="shared" si="0"/>
        <v>-600000</v>
      </c>
      <c r="G38" s="2" t="str">
        <f t="shared" si="1"/>
        <v/>
      </c>
      <c r="H38" s="4">
        <v>46297</v>
      </c>
      <c r="I38" s="7">
        <f t="shared" si="2"/>
        <v>10</v>
      </c>
      <c r="J38" s="2" t="s">
        <v>6</v>
      </c>
      <c r="K38" s="2" t="s">
        <v>7</v>
      </c>
      <c r="L38" s="2" t="s">
        <v>47</v>
      </c>
    </row>
    <row r="39" spans="1:12" ht="14.25" customHeight="1" x14ac:dyDescent="0.25">
      <c r="A39" s="2">
        <v>41</v>
      </c>
      <c r="B39" s="2" t="s">
        <v>440</v>
      </c>
      <c r="C39" s="2" t="s">
        <v>417</v>
      </c>
      <c r="D39" s="2" t="s">
        <v>428</v>
      </c>
      <c r="E39" s="2">
        <v>15000000</v>
      </c>
      <c r="F39" s="2">
        <f t="shared" si="0"/>
        <v>15000000</v>
      </c>
      <c r="G39" s="2" t="str">
        <f t="shared" si="1"/>
        <v/>
      </c>
      <c r="H39" s="4">
        <v>46328</v>
      </c>
      <c r="I39" s="7">
        <f t="shared" si="2"/>
        <v>11</v>
      </c>
      <c r="J39" s="2" t="s">
        <v>13</v>
      </c>
      <c r="K39" s="2" t="s">
        <v>7</v>
      </c>
      <c r="L39" s="2" t="s">
        <v>48</v>
      </c>
    </row>
    <row r="40" spans="1:12" ht="14.25" customHeight="1" x14ac:dyDescent="0.25">
      <c r="A40" s="2">
        <v>42</v>
      </c>
      <c r="B40" s="2" t="s">
        <v>439</v>
      </c>
      <c r="C40" s="2" t="s">
        <v>252</v>
      </c>
      <c r="D40" s="2"/>
      <c r="E40" s="2">
        <v>50000</v>
      </c>
      <c r="F40" s="2">
        <f t="shared" si="0"/>
        <v>-50000</v>
      </c>
      <c r="G40" s="2" t="str">
        <f t="shared" si="1"/>
        <v/>
      </c>
      <c r="H40" s="4">
        <v>46358</v>
      </c>
      <c r="I40" s="7">
        <f t="shared" si="2"/>
        <v>12</v>
      </c>
      <c r="J40" s="2" t="s">
        <v>11</v>
      </c>
      <c r="K40" s="2" t="s">
        <v>7</v>
      </c>
      <c r="L40" s="2" t="s">
        <v>49</v>
      </c>
    </row>
    <row r="41" spans="1:12" ht="14.25" customHeight="1" x14ac:dyDescent="0.25">
      <c r="A41" s="2">
        <v>43</v>
      </c>
      <c r="B41" s="2" t="s">
        <v>439</v>
      </c>
      <c r="C41" s="2" t="s">
        <v>253</v>
      </c>
      <c r="D41" s="2"/>
      <c r="E41" s="2">
        <v>15000000</v>
      </c>
      <c r="F41" s="2">
        <f t="shared" si="0"/>
        <v>-15000000</v>
      </c>
      <c r="G41" s="2" t="str">
        <f t="shared" si="1"/>
        <v>Chi tiêu lớn</v>
      </c>
      <c r="H41" s="4">
        <v>46066</v>
      </c>
      <c r="I41" s="7">
        <f t="shared" si="2"/>
        <v>2</v>
      </c>
      <c r="J41" s="2" t="s">
        <v>6</v>
      </c>
      <c r="K41" s="2" t="s">
        <v>7</v>
      </c>
      <c r="L41" s="2" t="s">
        <v>50</v>
      </c>
    </row>
    <row r="42" spans="1:12" ht="14.25" customHeight="1" x14ac:dyDescent="0.25">
      <c r="A42" s="2">
        <v>44</v>
      </c>
      <c r="B42" s="2" t="s">
        <v>439</v>
      </c>
      <c r="C42" s="2" t="s">
        <v>254</v>
      </c>
      <c r="D42" s="2"/>
      <c r="E42" s="2">
        <v>2000000</v>
      </c>
      <c r="F42" s="2">
        <f t="shared" si="0"/>
        <v>-2000000</v>
      </c>
      <c r="G42" s="2" t="str">
        <f t="shared" si="1"/>
        <v/>
      </c>
      <c r="H42" s="4">
        <v>46067</v>
      </c>
      <c r="I42" s="7">
        <f t="shared" si="2"/>
        <v>2</v>
      </c>
      <c r="J42" s="2" t="s">
        <v>13</v>
      </c>
      <c r="K42" s="2" t="s">
        <v>7</v>
      </c>
      <c r="L42" s="2" t="s">
        <v>51</v>
      </c>
    </row>
    <row r="43" spans="1:12" ht="14.25" customHeight="1" x14ac:dyDescent="0.25">
      <c r="A43" s="2">
        <v>45</v>
      </c>
      <c r="B43" s="2" t="s">
        <v>440</v>
      </c>
      <c r="C43" s="2" t="s">
        <v>255</v>
      </c>
      <c r="D43" s="2"/>
      <c r="E43" s="2">
        <v>8000000</v>
      </c>
      <c r="F43" s="2">
        <f t="shared" si="0"/>
        <v>8000000</v>
      </c>
      <c r="G43" s="2" t="str">
        <f t="shared" si="1"/>
        <v/>
      </c>
      <c r="H43" s="4">
        <v>46068</v>
      </c>
      <c r="I43" s="7">
        <f t="shared" si="2"/>
        <v>2</v>
      </c>
      <c r="J43" s="2" t="s">
        <v>6</v>
      </c>
      <c r="K43" s="2" t="s">
        <v>7</v>
      </c>
      <c r="L43" s="2" t="s">
        <v>52</v>
      </c>
    </row>
    <row r="44" spans="1:12" ht="14.25" customHeight="1" x14ac:dyDescent="0.25">
      <c r="A44" s="2">
        <v>46</v>
      </c>
      <c r="B44" s="2" t="s">
        <v>439</v>
      </c>
      <c r="C44" s="2" t="s">
        <v>256</v>
      </c>
      <c r="D44" s="2"/>
      <c r="E44" s="2">
        <v>12000000</v>
      </c>
      <c r="F44" s="2">
        <f t="shared" si="0"/>
        <v>-12000000</v>
      </c>
      <c r="G44" s="2" t="str">
        <f t="shared" si="1"/>
        <v>Chi tiêu lớn</v>
      </c>
      <c r="H44" s="4">
        <v>46069</v>
      </c>
      <c r="I44" s="7">
        <f t="shared" si="2"/>
        <v>2</v>
      </c>
      <c r="J44" s="2" t="s">
        <v>9</v>
      </c>
      <c r="K44" s="2" t="s">
        <v>7</v>
      </c>
      <c r="L44" s="2" t="s">
        <v>53</v>
      </c>
    </row>
    <row r="45" spans="1:12" ht="14.25" customHeight="1" x14ac:dyDescent="0.25">
      <c r="A45" s="2">
        <v>47</v>
      </c>
      <c r="B45" s="2" t="s">
        <v>439</v>
      </c>
      <c r="C45" s="2" t="s">
        <v>257</v>
      </c>
      <c r="D45" s="2"/>
      <c r="E45" s="2">
        <v>100000</v>
      </c>
      <c r="F45" s="2">
        <f t="shared" si="0"/>
        <v>-100000</v>
      </c>
      <c r="G45" s="2" t="str">
        <f t="shared" si="1"/>
        <v/>
      </c>
      <c r="H45" s="4">
        <v>46070</v>
      </c>
      <c r="I45" s="7">
        <f t="shared" si="2"/>
        <v>2</v>
      </c>
      <c r="J45" s="2" t="s">
        <v>9</v>
      </c>
      <c r="K45" s="2" t="s">
        <v>7</v>
      </c>
      <c r="L45" s="2" t="s">
        <v>54</v>
      </c>
    </row>
    <row r="46" spans="1:12" ht="14.25" customHeight="1" x14ac:dyDescent="0.25">
      <c r="A46" s="2">
        <v>48</v>
      </c>
      <c r="B46" s="2" t="s">
        <v>439</v>
      </c>
      <c r="C46" s="2" t="s">
        <v>258</v>
      </c>
      <c r="D46" s="2"/>
      <c r="E46" s="2">
        <v>180000</v>
      </c>
      <c r="F46" s="2">
        <f t="shared" si="0"/>
        <v>-180000</v>
      </c>
      <c r="G46" s="2" t="str">
        <f t="shared" si="1"/>
        <v/>
      </c>
      <c r="H46" s="4">
        <v>46071</v>
      </c>
      <c r="I46" s="7">
        <f t="shared" si="2"/>
        <v>2</v>
      </c>
      <c r="J46" s="2" t="s">
        <v>11</v>
      </c>
      <c r="K46" s="2" t="s">
        <v>7</v>
      </c>
      <c r="L46" s="2" t="s">
        <v>55</v>
      </c>
    </row>
    <row r="47" spans="1:12" ht="14.25" customHeight="1" x14ac:dyDescent="0.25">
      <c r="A47" s="2">
        <v>49</v>
      </c>
      <c r="B47" s="2" t="s">
        <v>440</v>
      </c>
      <c r="C47" s="2" t="s">
        <v>259</v>
      </c>
      <c r="D47" s="2"/>
      <c r="E47" s="2">
        <v>15000000</v>
      </c>
      <c r="F47" s="2">
        <f t="shared" si="0"/>
        <v>15000000</v>
      </c>
      <c r="G47" s="2" t="str">
        <f t="shared" si="1"/>
        <v/>
      </c>
      <c r="H47" s="4">
        <v>46072</v>
      </c>
      <c r="I47" s="7">
        <f t="shared" si="2"/>
        <v>2</v>
      </c>
      <c r="J47" s="2" t="s">
        <v>6</v>
      </c>
      <c r="K47" s="2" t="s">
        <v>7</v>
      </c>
      <c r="L47" s="2" t="s">
        <v>56</v>
      </c>
    </row>
    <row r="48" spans="1:12" ht="14.25" customHeight="1" x14ac:dyDescent="0.25">
      <c r="A48" s="2">
        <v>51</v>
      </c>
      <c r="B48" s="2" t="s">
        <v>439</v>
      </c>
      <c r="C48" s="2" t="s">
        <v>261</v>
      </c>
      <c r="D48" s="2"/>
      <c r="E48" s="2">
        <v>350000</v>
      </c>
      <c r="F48" s="2">
        <f t="shared" si="0"/>
        <v>-350000</v>
      </c>
      <c r="G48" s="2" t="str">
        <f t="shared" si="1"/>
        <v/>
      </c>
      <c r="H48" s="4">
        <v>46074</v>
      </c>
      <c r="I48" s="7">
        <f t="shared" si="2"/>
        <v>2</v>
      </c>
      <c r="J48" s="2" t="s">
        <v>6</v>
      </c>
      <c r="K48" s="2" t="s">
        <v>7</v>
      </c>
      <c r="L48" s="2" t="s">
        <v>58</v>
      </c>
    </row>
    <row r="49" spans="1:12" ht="14.25" customHeight="1" x14ac:dyDescent="0.25">
      <c r="A49" s="2">
        <v>52</v>
      </c>
      <c r="B49" s="2" t="s">
        <v>440</v>
      </c>
      <c r="C49" s="2" t="s">
        <v>262</v>
      </c>
      <c r="D49" s="2"/>
      <c r="E49" s="2">
        <v>5000000</v>
      </c>
      <c r="F49" s="2">
        <f t="shared" si="0"/>
        <v>5000000</v>
      </c>
      <c r="G49" s="2" t="str">
        <f t="shared" si="1"/>
        <v/>
      </c>
      <c r="H49" s="4">
        <v>46075</v>
      </c>
      <c r="I49" s="7">
        <f t="shared" si="2"/>
        <v>2</v>
      </c>
      <c r="J49" s="2" t="s">
        <v>13</v>
      </c>
      <c r="K49" s="2" t="s">
        <v>7</v>
      </c>
      <c r="L49" s="2" t="s">
        <v>59</v>
      </c>
    </row>
    <row r="50" spans="1:12" ht="14.25" customHeight="1" x14ac:dyDescent="0.25">
      <c r="A50" s="2">
        <v>53</v>
      </c>
      <c r="B50" s="2" t="s">
        <v>439</v>
      </c>
      <c r="C50" s="2" t="s">
        <v>263</v>
      </c>
      <c r="D50" s="2"/>
      <c r="E50" s="2">
        <v>120000</v>
      </c>
      <c r="F50" s="2">
        <f t="shared" si="0"/>
        <v>-120000</v>
      </c>
      <c r="G50" s="2" t="str">
        <f t="shared" si="1"/>
        <v/>
      </c>
      <c r="H50" s="4">
        <v>46076</v>
      </c>
      <c r="I50" s="7">
        <f t="shared" si="2"/>
        <v>2</v>
      </c>
      <c r="J50" s="2" t="s">
        <v>11</v>
      </c>
      <c r="K50" s="2" t="s">
        <v>7</v>
      </c>
      <c r="L50" s="2" t="s">
        <v>60</v>
      </c>
    </row>
    <row r="51" spans="1:12" ht="14.25" customHeight="1" x14ac:dyDescent="0.25">
      <c r="A51" s="2">
        <v>55</v>
      </c>
      <c r="B51" s="2" t="s">
        <v>440</v>
      </c>
      <c r="C51" s="2" t="s">
        <v>264</v>
      </c>
      <c r="D51" s="2"/>
      <c r="E51" s="2">
        <v>18000000</v>
      </c>
      <c r="F51" s="2">
        <f t="shared" si="0"/>
        <v>18000000</v>
      </c>
      <c r="G51" s="2" t="str">
        <f t="shared" si="1"/>
        <v/>
      </c>
      <c r="H51" s="4">
        <v>46078</v>
      </c>
      <c r="I51" s="7">
        <f t="shared" si="2"/>
        <v>2</v>
      </c>
      <c r="J51" s="2" t="s">
        <v>13</v>
      </c>
      <c r="K51" s="2" t="s">
        <v>7</v>
      </c>
      <c r="L51" s="2" t="s">
        <v>61</v>
      </c>
    </row>
    <row r="52" spans="1:12" ht="14.25" customHeight="1" x14ac:dyDescent="0.25">
      <c r="A52" s="2">
        <v>56</v>
      </c>
      <c r="B52" s="2" t="s">
        <v>439</v>
      </c>
      <c r="C52" s="2" t="s">
        <v>265</v>
      </c>
      <c r="D52" s="2"/>
      <c r="E52" s="2">
        <v>85000</v>
      </c>
      <c r="F52" s="2">
        <f t="shared" si="0"/>
        <v>-85000</v>
      </c>
      <c r="G52" s="2" t="str">
        <f t="shared" si="1"/>
        <v/>
      </c>
      <c r="H52" s="4">
        <v>46079</v>
      </c>
      <c r="I52" s="7">
        <f t="shared" si="2"/>
        <v>2</v>
      </c>
      <c r="J52" s="2" t="s">
        <v>9</v>
      </c>
      <c r="K52" s="2" t="s">
        <v>7</v>
      </c>
      <c r="L52" s="2" t="s">
        <v>62</v>
      </c>
    </row>
    <row r="53" spans="1:12" ht="14.25" customHeight="1" x14ac:dyDescent="0.25">
      <c r="A53" s="2">
        <v>57</v>
      </c>
      <c r="B53" s="2" t="s">
        <v>439</v>
      </c>
      <c r="C53" s="2" t="s">
        <v>418</v>
      </c>
      <c r="D53" s="2" t="s">
        <v>429</v>
      </c>
      <c r="E53" s="2">
        <v>540000</v>
      </c>
      <c r="F53" s="2">
        <f t="shared" si="0"/>
        <v>-540000</v>
      </c>
      <c r="G53" s="2" t="str">
        <f t="shared" si="1"/>
        <v/>
      </c>
      <c r="H53" s="4">
        <v>46080</v>
      </c>
      <c r="I53" s="7">
        <f t="shared" si="2"/>
        <v>2</v>
      </c>
      <c r="J53" s="2" t="s">
        <v>6</v>
      </c>
      <c r="K53" s="2" t="s">
        <v>7</v>
      </c>
      <c r="L53" s="2" t="s">
        <v>63</v>
      </c>
    </row>
    <row r="54" spans="1:12" ht="14.25" customHeight="1" x14ac:dyDescent="0.25">
      <c r="A54" s="2">
        <v>58</v>
      </c>
      <c r="B54" s="2" t="s">
        <v>439</v>
      </c>
      <c r="C54" s="2" t="s">
        <v>266</v>
      </c>
      <c r="D54" s="2"/>
      <c r="E54" s="2">
        <v>18000000</v>
      </c>
      <c r="F54" s="2">
        <f t="shared" si="0"/>
        <v>-18000000</v>
      </c>
      <c r="G54" s="2" t="str">
        <f t="shared" si="1"/>
        <v>Chi tiêu lớn</v>
      </c>
      <c r="H54" s="4">
        <v>46081</v>
      </c>
      <c r="I54" s="7">
        <f t="shared" si="2"/>
        <v>2</v>
      </c>
      <c r="J54" s="2" t="s">
        <v>9</v>
      </c>
      <c r="K54" s="2" t="s">
        <v>7</v>
      </c>
      <c r="L54" s="2" t="s">
        <v>64</v>
      </c>
    </row>
    <row r="55" spans="1:12" ht="14.25" customHeight="1" x14ac:dyDescent="0.25">
      <c r="A55" s="2">
        <v>59</v>
      </c>
      <c r="B55" s="2" t="s">
        <v>440</v>
      </c>
      <c r="C55" s="2" t="s">
        <v>267</v>
      </c>
      <c r="D55" s="2"/>
      <c r="E55" s="2">
        <v>30000</v>
      </c>
      <c r="F55" s="2">
        <f t="shared" si="0"/>
        <v>30000</v>
      </c>
      <c r="G55" s="2" t="str">
        <f t="shared" si="1"/>
        <v/>
      </c>
      <c r="H55" s="4">
        <v>46025</v>
      </c>
      <c r="I55" s="7">
        <f t="shared" si="2"/>
        <v>1</v>
      </c>
      <c r="J55" s="2" t="s">
        <v>9</v>
      </c>
      <c r="K55" s="2" t="s">
        <v>7</v>
      </c>
      <c r="L55" s="2" t="s">
        <v>65</v>
      </c>
    </row>
    <row r="56" spans="1:12" ht="14.25" customHeight="1" x14ac:dyDescent="0.25">
      <c r="A56" s="2">
        <v>60</v>
      </c>
      <c r="B56" s="2" t="s">
        <v>439</v>
      </c>
      <c r="C56" s="2" t="s">
        <v>268</v>
      </c>
      <c r="D56" s="2"/>
      <c r="E56" s="2">
        <v>4000000</v>
      </c>
      <c r="F56" s="2">
        <f t="shared" si="0"/>
        <v>-4000000</v>
      </c>
      <c r="G56" s="2" t="str">
        <f t="shared" si="1"/>
        <v>Chi tiêu lớn</v>
      </c>
      <c r="H56" s="4">
        <v>46056</v>
      </c>
      <c r="I56" s="7">
        <f t="shared" si="2"/>
        <v>2</v>
      </c>
      <c r="J56" s="2" t="s">
        <v>13</v>
      </c>
      <c r="K56" s="2" t="s">
        <v>7</v>
      </c>
      <c r="L56" s="2" t="s">
        <v>66</v>
      </c>
    </row>
    <row r="57" spans="1:12" ht="14.25" customHeight="1" x14ac:dyDescent="0.25">
      <c r="A57" s="2">
        <v>61</v>
      </c>
      <c r="B57" s="2" t="s">
        <v>439</v>
      </c>
      <c r="C57" s="2" t="s">
        <v>419</v>
      </c>
      <c r="D57" s="2" t="s">
        <v>430</v>
      </c>
      <c r="E57" s="2">
        <v>450000</v>
      </c>
      <c r="F57" s="2">
        <f t="shared" si="0"/>
        <v>-450000</v>
      </c>
      <c r="G57" s="2" t="str">
        <f t="shared" si="1"/>
        <v/>
      </c>
      <c r="H57" s="4">
        <v>46084</v>
      </c>
      <c r="I57" s="7">
        <f t="shared" si="2"/>
        <v>3</v>
      </c>
      <c r="J57" s="2" t="s">
        <v>6</v>
      </c>
      <c r="K57" s="2" t="s">
        <v>7</v>
      </c>
      <c r="L57" s="2" t="s">
        <v>67</v>
      </c>
    </row>
    <row r="58" spans="1:12" ht="14.25" customHeight="1" x14ac:dyDescent="0.25">
      <c r="A58" s="2">
        <v>62</v>
      </c>
      <c r="B58" s="2" t="s">
        <v>440</v>
      </c>
      <c r="C58" s="2" t="s">
        <v>269</v>
      </c>
      <c r="D58" s="2"/>
      <c r="E58" s="2">
        <v>25000000</v>
      </c>
      <c r="F58" s="2">
        <f t="shared" si="0"/>
        <v>25000000</v>
      </c>
      <c r="G58" s="2" t="str">
        <f t="shared" si="1"/>
        <v/>
      </c>
      <c r="H58" s="4">
        <v>46115</v>
      </c>
      <c r="I58" s="7">
        <f t="shared" si="2"/>
        <v>4</v>
      </c>
      <c r="J58" s="2" t="s">
        <v>13</v>
      </c>
      <c r="K58" s="2" t="s">
        <v>7</v>
      </c>
      <c r="L58" s="2" t="s">
        <v>68</v>
      </c>
    </row>
    <row r="59" spans="1:12" ht="14.25" customHeight="1" x14ac:dyDescent="0.25">
      <c r="A59" s="2">
        <v>63</v>
      </c>
      <c r="B59" s="2" t="s">
        <v>439</v>
      </c>
      <c r="C59" s="2" t="s">
        <v>270</v>
      </c>
      <c r="D59" s="2"/>
      <c r="E59" s="2">
        <v>210000</v>
      </c>
      <c r="F59" s="2">
        <f t="shared" si="0"/>
        <v>-210000</v>
      </c>
      <c r="G59" s="2" t="str">
        <f t="shared" si="1"/>
        <v/>
      </c>
      <c r="H59" s="4">
        <v>46145</v>
      </c>
      <c r="I59" s="7">
        <f t="shared" si="2"/>
        <v>5</v>
      </c>
      <c r="J59" s="2" t="s">
        <v>11</v>
      </c>
      <c r="K59" s="2" t="s">
        <v>7</v>
      </c>
      <c r="L59" s="2" t="s">
        <v>69</v>
      </c>
    </row>
    <row r="60" spans="1:12" ht="14.25" customHeight="1" x14ac:dyDescent="0.25">
      <c r="A60" s="2">
        <v>64</v>
      </c>
      <c r="B60" s="2" t="s">
        <v>439</v>
      </c>
      <c r="C60" s="2" t="s">
        <v>271</v>
      </c>
      <c r="D60" s="2"/>
      <c r="E60" s="2">
        <v>90000</v>
      </c>
      <c r="F60" s="2">
        <f t="shared" si="0"/>
        <v>-90000</v>
      </c>
      <c r="G60" s="2" t="str">
        <f t="shared" si="1"/>
        <v/>
      </c>
      <c r="H60" s="4">
        <v>46176</v>
      </c>
      <c r="I60" s="7">
        <f t="shared" si="2"/>
        <v>6</v>
      </c>
      <c r="J60" s="2" t="s">
        <v>11</v>
      </c>
      <c r="K60" s="2" t="s">
        <v>7</v>
      </c>
      <c r="L60" s="2" t="s">
        <v>70</v>
      </c>
    </row>
    <row r="61" spans="1:12" ht="14.25" customHeight="1" x14ac:dyDescent="0.25">
      <c r="A61" s="2">
        <v>66</v>
      </c>
      <c r="B61" s="2" t="s">
        <v>440</v>
      </c>
      <c r="C61" s="2" t="s">
        <v>272</v>
      </c>
      <c r="D61" s="2"/>
      <c r="E61" s="2">
        <v>85000000</v>
      </c>
      <c r="F61" s="2">
        <f t="shared" si="0"/>
        <v>85000000</v>
      </c>
      <c r="G61" s="2" t="str">
        <f t="shared" si="1"/>
        <v/>
      </c>
      <c r="H61" s="4">
        <v>46237</v>
      </c>
      <c r="I61" s="7">
        <f t="shared" si="2"/>
        <v>8</v>
      </c>
      <c r="J61" s="2" t="s">
        <v>11</v>
      </c>
      <c r="K61" s="2" t="s">
        <v>7</v>
      </c>
      <c r="L61" s="2" t="s">
        <v>71</v>
      </c>
    </row>
    <row r="62" spans="1:12" ht="14.25" customHeight="1" x14ac:dyDescent="0.25">
      <c r="A62" s="2">
        <v>67</v>
      </c>
      <c r="B62" s="2" t="s">
        <v>439</v>
      </c>
      <c r="C62" s="2" t="s">
        <v>273</v>
      </c>
      <c r="D62" s="2"/>
      <c r="E62" s="2">
        <v>180000</v>
      </c>
      <c r="F62" s="2">
        <f t="shared" si="0"/>
        <v>-180000</v>
      </c>
      <c r="G62" s="2" t="str">
        <f t="shared" si="1"/>
        <v/>
      </c>
      <c r="H62" s="4">
        <v>46268</v>
      </c>
      <c r="I62" s="7">
        <f t="shared" si="2"/>
        <v>9</v>
      </c>
      <c r="J62" s="2" t="s">
        <v>9</v>
      </c>
      <c r="K62" s="2" t="s">
        <v>7</v>
      </c>
      <c r="L62" s="2" t="s">
        <v>72</v>
      </c>
    </row>
    <row r="63" spans="1:12" ht="14.25" customHeight="1" x14ac:dyDescent="0.25">
      <c r="A63" s="2">
        <v>68</v>
      </c>
      <c r="B63" s="2" t="s">
        <v>439</v>
      </c>
      <c r="C63" s="2" t="s">
        <v>240</v>
      </c>
      <c r="D63" s="2"/>
      <c r="E63" s="2">
        <v>65000</v>
      </c>
      <c r="F63" s="2">
        <f t="shared" si="0"/>
        <v>-65000</v>
      </c>
      <c r="G63" s="2" t="str">
        <f t="shared" si="1"/>
        <v/>
      </c>
      <c r="H63" s="4">
        <v>46298</v>
      </c>
      <c r="I63" s="7">
        <f t="shared" si="2"/>
        <v>10</v>
      </c>
      <c r="J63" s="2" t="s">
        <v>9</v>
      </c>
      <c r="K63" s="2" t="s">
        <v>7</v>
      </c>
      <c r="L63" s="2" t="s">
        <v>73</v>
      </c>
    </row>
    <row r="64" spans="1:12" ht="14.25" customHeight="1" x14ac:dyDescent="0.25">
      <c r="A64" s="2">
        <v>69</v>
      </c>
      <c r="B64" s="2" t="s">
        <v>439</v>
      </c>
      <c r="C64" s="2" t="s">
        <v>274</v>
      </c>
      <c r="D64" s="2"/>
      <c r="E64" s="2">
        <v>12000000</v>
      </c>
      <c r="F64" s="2">
        <f t="shared" si="0"/>
        <v>-12000000</v>
      </c>
      <c r="G64" s="2" t="str">
        <f t="shared" si="1"/>
        <v>Chi tiêu lớn</v>
      </c>
      <c r="H64" s="4">
        <v>46329</v>
      </c>
      <c r="I64" s="7">
        <f t="shared" si="2"/>
        <v>11</v>
      </c>
      <c r="J64" s="2" t="s">
        <v>6</v>
      </c>
      <c r="K64" s="2" t="s">
        <v>7</v>
      </c>
      <c r="L64" s="2" t="s">
        <v>74</v>
      </c>
    </row>
    <row r="65" spans="1:12" ht="14.25" customHeight="1" x14ac:dyDescent="0.25">
      <c r="A65" s="2">
        <v>70</v>
      </c>
      <c r="B65" s="2" t="s">
        <v>440</v>
      </c>
      <c r="C65" s="2" t="s">
        <v>275</v>
      </c>
      <c r="D65" s="2"/>
      <c r="E65" s="2">
        <v>2000000</v>
      </c>
      <c r="F65" s="2">
        <f t="shared" si="0"/>
        <v>2000000</v>
      </c>
      <c r="G65" s="2" t="str">
        <f t="shared" si="1"/>
        <v/>
      </c>
      <c r="H65" s="4">
        <v>46359</v>
      </c>
      <c r="I65" s="7">
        <f t="shared" si="2"/>
        <v>12</v>
      </c>
      <c r="J65" s="2" t="s">
        <v>9</v>
      </c>
      <c r="K65" s="2" t="s">
        <v>7</v>
      </c>
      <c r="L65" s="2" t="s">
        <v>75</v>
      </c>
    </row>
    <row r="66" spans="1:12" ht="14.25" customHeight="1" x14ac:dyDescent="0.25">
      <c r="A66" s="2">
        <v>71</v>
      </c>
      <c r="B66" s="2" t="s">
        <v>439</v>
      </c>
      <c r="C66" s="2" t="s">
        <v>276</v>
      </c>
      <c r="D66" s="2"/>
      <c r="E66" s="2">
        <v>15000000</v>
      </c>
      <c r="F66" s="2">
        <f t="shared" ref="F66:F129" si="3">IF(TRIM(B66)="Thu", E66, -E66)</f>
        <v>-15000000</v>
      </c>
      <c r="G66" s="2" t="str">
        <f t="shared" ref="G66:G129" si="4">IF(AND(B66="Chi", E66&gt;2000000), "Chi tiêu lớn", "")</f>
        <v>Chi tiêu lớn</v>
      </c>
      <c r="H66" s="4">
        <v>46094</v>
      </c>
      <c r="I66" s="7">
        <f t="shared" ref="I66:I129" si="5">MONTH(H66)</f>
        <v>3</v>
      </c>
      <c r="J66" s="2" t="s">
        <v>13</v>
      </c>
      <c r="K66" s="2" t="s">
        <v>7</v>
      </c>
      <c r="L66" s="2" t="s">
        <v>76</v>
      </c>
    </row>
    <row r="67" spans="1:12" ht="14.25" customHeight="1" x14ac:dyDescent="0.25">
      <c r="A67" s="2">
        <v>72</v>
      </c>
      <c r="B67" s="2" t="s">
        <v>439</v>
      </c>
      <c r="C67" s="2" t="s">
        <v>277</v>
      </c>
      <c r="D67" s="2"/>
      <c r="E67" s="2">
        <v>500000</v>
      </c>
      <c r="F67" s="2">
        <f t="shared" si="3"/>
        <v>-500000</v>
      </c>
      <c r="G67" s="2" t="str">
        <f t="shared" si="4"/>
        <v/>
      </c>
      <c r="H67" s="4">
        <v>46095</v>
      </c>
      <c r="I67" s="7">
        <f t="shared" si="5"/>
        <v>3</v>
      </c>
      <c r="J67" s="2" t="s">
        <v>11</v>
      </c>
      <c r="K67" s="2" t="s">
        <v>7</v>
      </c>
      <c r="L67" s="2" t="s">
        <v>77</v>
      </c>
    </row>
    <row r="68" spans="1:12" ht="14.25" customHeight="1" x14ac:dyDescent="0.25">
      <c r="A68" s="2">
        <v>73</v>
      </c>
      <c r="B68" s="2" t="s">
        <v>439</v>
      </c>
      <c r="C68" s="2" t="s">
        <v>278</v>
      </c>
      <c r="D68" s="2"/>
      <c r="E68" s="2">
        <v>320000</v>
      </c>
      <c r="F68" s="2">
        <f t="shared" si="3"/>
        <v>-320000</v>
      </c>
      <c r="G68" s="2" t="str">
        <f t="shared" si="4"/>
        <v/>
      </c>
      <c r="H68" s="4">
        <v>46096</v>
      </c>
      <c r="I68" s="7">
        <f t="shared" si="5"/>
        <v>3</v>
      </c>
      <c r="J68" s="2" t="s">
        <v>6</v>
      </c>
      <c r="K68" s="2" t="s">
        <v>7</v>
      </c>
      <c r="L68" s="2" t="s">
        <v>78</v>
      </c>
    </row>
    <row r="69" spans="1:12" ht="14.25" customHeight="1" x14ac:dyDescent="0.25">
      <c r="A69" s="2">
        <v>75</v>
      </c>
      <c r="B69" s="2" t="s">
        <v>439</v>
      </c>
      <c r="C69" s="2" t="s">
        <v>279</v>
      </c>
      <c r="D69" s="2"/>
      <c r="E69" s="2">
        <v>200000</v>
      </c>
      <c r="F69" s="2">
        <f t="shared" si="3"/>
        <v>-200000</v>
      </c>
      <c r="G69" s="2" t="str">
        <f t="shared" si="4"/>
        <v/>
      </c>
      <c r="H69" s="4">
        <v>46098</v>
      </c>
      <c r="I69" s="7">
        <f t="shared" si="5"/>
        <v>3</v>
      </c>
      <c r="J69" s="2" t="s">
        <v>11</v>
      </c>
      <c r="K69" s="2" t="s">
        <v>7</v>
      </c>
      <c r="L69" s="2" t="s">
        <v>79</v>
      </c>
    </row>
    <row r="70" spans="1:12" ht="14.25" customHeight="1" x14ac:dyDescent="0.25">
      <c r="A70" s="2">
        <v>76</v>
      </c>
      <c r="B70" s="2" t="s">
        <v>439</v>
      </c>
      <c r="C70" s="2" t="s">
        <v>280</v>
      </c>
      <c r="D70" s="2"/>
      <c r="E70" s="2">
        <v>79000</v>
      </c>
      <c r="F70" s="2">
        <f t="shared" si="3"/>
        <v>-79000</v>
      </c>
      <c r="G70" s="2" t="str">
        <f t="shared" si="4"/>
        <v/>
      </c>
      <c r="H70" s="4">
        <v>46099</v>
      </c>
      <c r="I70" s="7">
        <f t="shared" si="5"/>
        <v>3</v>
      </c>
      <c r="J70" s="2" t="s">
        <v>6</v>
      </c>
      <c r="K70" s="2" t="s">
        <v>7</v>
      </c>
      <c r="L70" s="2" t="s">
        <v>80</v>
      </c>
    </row>
    <row r="71" spans="1:12" ht="14.25" customHeight="1" x14ac:dyDescent="0.25">
      <c r="A71" s="2">
        <v>77</v>
      </c>
      <c r="B71" s="2" t="s">
        <v>439</v>
      </c>
      <c r="C71" s="2" t="s">
        <v>281</v>
      </c>
      <c r="D71" s="2"/>
      <c r="E71" s="2">
        <v>350000</v>
      </c>
      <c r="F71" s="2">
        <f t="shared" si="3"/>
        <v>-350000</v>
      </c>
      <c r="G71" s="2" t="str">
        <f t="shared" si="4"/>
        <v/>
      </c>
      <c r="H71" s="4">
        <v>46100</v>
      </c>
      <c r="I71" s="7">
        <f t="shared" si="5"/>
        <v>3</v>
      </c>
      <c r="J71" s="2" t="s">
        <v>11</v>
      </c>
      <c r="K71" s="2" t="s">
        <v>7</v>
      </c>
      <c r="L71" s="2" t="s">
        <v>81</v>
      </c>
    </row>
    <row r="72" spans="1:12" ht="14.25" customHeight="1" x14ac:dyDescent="0.25">
      <c r="A72" s="2">
        <v>78</v>
      </c>
      <c r="B72" s="2" t="s">
        <v>440</v>
      </c>
      <c r="C72" s="2" t="s">
        <v>282</v>
      </c>
      <c r="D72" s="2"/>
      <c r="E72" s="2">
        <v>3000000</v>
      </c>
      <c r="F72" s="2">
        <f t="shared" si="3"/>
        <v>3000000</v>
      </c>
      <c r="G72" s="2" t="str">
        <f t="shared" si="4"/>
        <v/>
      </c>
      <c r="H72" s="4">
        <v>46101</v>
      </c>
      <c r="I72" s="7">
        <f t="shared" si="5"/>
        <v>3</v>
      </c>
      <c r="J72" s="2" t="s">
        <v>13</v>
      </c>
      <c r="K72" s="2" t="s">
        <v>7</v>
      </c>
      <c r="L72" s="2" t="s">
        <v>82</v>
      </c>
    </row>
    <row r="73" spans="1:12" ht="14.25" customHeight="1" x14ac:dyDescent="0.25">
      <c r="A73" s="2">
        <v>79</v>
      </c>
      <c r="B73" s="2" t="s">
        <v>439</v>
      </c>
      <c r="C73" s="2" t="s">
        <v>283</v>
      </c>
      <c r="D73" s="2"/>
      <c r="E73" s="2">
        <v>18000000</v>
      </c>
      <c r="F73" s="2">
        <f t="shared" si="3"/>
        <v>-18000000</v>
      </c>
      <c r="G73" s="2" t="str">
        <f t="shared" si="4"/>
        <v>Chi tiêu lớn</v>
      </c>
      <c r="H73" s="4">
        <v>46102</v>
      </c>
      <c r="I73" s="7">
        <f t="shared" si="5"/>
        <v>3</v>
      </c>
      <c r="J73" s="2" t="s">
        <v>6</v>
      </c>
      <c r="K73" s="2" t="s">
        <v>7</v>
      </c>
      <c r="L73" s="2" t="s">
        <v>83</v>
      </c>
    </row>
    <row r="74" spans="1:12" ht="14.25" customHeight="1" x14ac:dyDescent="0.25">
      <c r="A74" s="2">
        <v>80</v>
      </c>
      <c r="B74" s="2" t="s">
        <v>439</v>
      </c>
      <c r="C74" s="2" t="s">
        <v>284</v>
      </c>
      <c r="D74" s="2"/>
      <c r="E74" s="2">
        <v>600000</v>
      </c>
      <c r="F74" s="2">
        <f t="shared" si="3"/>
        <v>-600000</v>
      </c>
      <c r="G74" s="2" t="str">
        <f t="shared" si="4"/>
        <v/>
      </c>
      <c r="H74" s="4">
        <v>46103</v>
      </c>
      <c r="I74" s="7">
        <f t="shared" si="5"/>
        <v>3</v>
      </c>
      <c r="J74" s="2" t="s">
        <v>13</v>
      </c>
      <c r="K74" s="2" t="s">
        <v>7</v>
      </c>
      <c r="L74" s="2" t="s">
        <v>84</v>
      </c>
    </row>
    <row r="75" spans="1:12" ht="14.25" customHeight="1" x14ac:dyDescent="0.25">
      <c r="A75" s="2">
        <v>81</v>
      </c>
      <c r="B75" s="2" t="s">
        <v>439</v>
      </c>
      <c r="C75" s="2" t="s">
        <v>285</v>
      </c>
      <c r="D75" s="2"/>
      <c r="E75" s="2">
        <v>55000</v>
      </c>
      <c r="F75" s="2">
        <f t="shared" si="3"/>
        <v>-55000</v>
      </c>
      <c r="G75" s="2" t="str">
        <f t="shared" si="4"/>
        <v/>
      </c>
      <c r="H75" s="4">
        <v>46104</v>
      </c>
      <c r="I75" s="7">
        <f t="shared" si="5"/>
        <v>3</v>
      </c>
      <c r="J75" s="2" t="s">
        <v>9</v>
      </c>
      <c r="K75" s="2" t="s">
        <v>7</v>
      </c>
      <c r="L75" s="2" t="s">
        <v>85</v>
      </c>
    </row>
    <row r="76" spans="1:12" ht="14.25" customHeight="1" x14ac:dyDescent="0.25">
      <c r="A76" s="2">
        <v>82</v>
      </c>
      <c r="B76" s="2" t="s">
        <v>440</v>
      </c>
      <c r="C76" s="2" t="s">
        <v>286</v>
      </c>
      <c r="D76" s="2"/>
      <c r="E76" s="2">
        <v>450000</v>
      </c>
      <c r="F76" s="2">
        <f t="shared" si="3"/>
        <v>450000</v>
      </c>
      <c r="G76" s="2" t="str">
        <f t="shared" si="4"/>
        <v/>
      </c>
      <c r="H76" s="4">
        <v>46105</v>
      </c>
      <c r="I76" s="7">
        <f t="shared" si="5"/>
        <v>3</v>
      </c>
      <c r="J76" s="2" t="s">
        <v>6</v>
      </c>
      <c r="K76" s="2" t="s">
        <v>7</v>
      </c>
      <c r="L76" s="2" t="s">
        <v>86</v>
      </c>
    </row>
    <row r="77" spans="1:12" ht="14.25" customHeight="1" x14ac:dyDescent="0.25">
      <c r="A77" s="2">
        <v>83</v>
      </c>
      <c r="B77" s="2" t="s">
        <v>439</v>
      </c>
      <c r="C77" s="2" t="s">
        <v>287</v>
      </c>
      <c r="D77" s="2"/>
      <c r="E77" s="2">
        <v>150000</v>
      </c>
      <c r="F77" s="2">
        <f t="shared" si="3"/>
        <v>-150000</v>
      </c>
      <c r="G77" s="2" t="str">
        <f t="shared" si="4"/>
        <v/>
      </c>
      <c r="H77" s="4">
        <v>46106</v>
      </c>
      <c r="I77" s="7">
        <f t="shared" si="5"/>
        <v>3</v>
      </c>
      <c r="J77" s="2" t="s">
        <v>11</v>
      </c>
      <c r="K77" s="2" t="s">
        <v>7</v>
      </c>
      <c r="L77" s="2" t="s">
        <v>87</v>
      </c>
    </row>
    <row r="78" spans="1:12" ht="14.25" customHeight="1" x14ac:dyDescent="0.25">
      <c r="A78" s="2">
        <v>84</v>
      </c>
      <c r="B78" s="2" t="s">
        <v>439</v>
      </c>
      <c r="C78" s="2" t="s">
        <v>288</v>
      </c>
      <c r="D78" s="2"/>
      <c r="E78" s="2">
        <v>850000</v>
      </c>
      <c r="F78" s="2">
        <f t="shared" si="3"/>
        <v>-850000</v>
      </c>
      <c r="G78" s="2" t="str">
        <f t="shared" si="4"/>
        <v/>
      </c>
      <c r="H78" s="4">
        <v>46107</v>
      </c>
      <c r="I78" s="7">
        <f t="shared" si="5"/>
        <v>3</v>
      </c>
      <c r="J78" s="2" t="s">
        <v>6</v>
      </c>
      <c r="K78" s="2" t="s">
        <v>7</v>
      </c>
      <c r="L78" s="2" t="s">
        <v>88</v>
      </c>
    </row>
    <row r="79" spans="1:12" ht="14.25" customHeight="1" x14ac:dyDescent="0.25">
      <c r="A79" s="2">
        <v>85</v>
      </c>
      <c r="B79" s="2" t="s">
        <v>439</v>
      </c>
      <c r="C79" s="2" t="s">
        <v>289</v>
      </c>
      <c r="D79" s="2"/>
      <c r="E79" s="2">
        <v>35000</v>
      </c>
      <c r="F79" s="2">
        <f t="shared" si="3"/>
        <v>-35000</v>
      </c>
      <c r="G79" s="2" t="str">
        <f t="shared" si="4"/>
        <v/>
      </c>
      <c r="H79" s="4">
        <v>46108</v>
      </c>
      <c r="I79" s="7">
        <f t="shared" si="5"/>
        <v>3</v>
      </c>
      <c r="J79" s="2" t="s">
        <v>9</v>
      </c>
      <c r="K79" s="2" t="s">
        <v>7</v>
      </c>
      <c r="L79" s="2" t="s">
        <v>89</v>
      </c>
    </row>
    <row r="80" spans="1:12" ht="14.25" customHeight="1" x14ac:dyDescent="0.25">
      <c r="A80" s="2">
        <v>86</v>
      </c>
      <c r="B80" s="2" t="s">
        <v>440</v>
      </c>
      <c r="C80" s="2" t="s">
        <v>290</v>
      </c>
      <c r="D80" s="2"/>
      <c r="E80" s="2">
        <v>52000000</v>
      </c>
      <c r="F80" s="2">
        <f t="shared" si="3"/>
        <v>52000000</v>
      </c>
      <c r="G80" s="2" t="str">
        <f t="shared" si="4"/>
        <v/>
      </c>
      <c r="H80" s="4">
        <v>46109</v>
      </c>
      <c r="I80" s="7">
        <f t="shared" si="5"/>
        <v>3</v>
      </c>
      <c r="J80" s="2" t="s">
        <v>13</v>
      </c>
      <c r="K80" s="2" t="s">
        <v>7</v>
      </c>
      <c r="L80" s="2" t="s">
        <v>90</v>
      </c>
    </row>
    <row r="81" spans="1:12" ht="14.25" customHeight="1" x14ac:dyDescent="0.25">
      <c r="A81" s="2">
        <v>87</v>
      </c>
      <c r="B81" s="2" t="s">
        <v>439</v>
      </c>
      <c r="C81" s="2" t="s">
        <v>260</v>
      </c>
      <c r="D81" s="2"/>
      <c r="E81" s="2">
        <v>700000</v>
      </c>
      <c r="F81" s="2">
        <f t="shared" si="3"/>
        <v>-700000</v>
      </c>
      <c r="G81" s="2" t="str">
        <f t="shared" si="4"/>
        <v/>
      </c>
      <c r="H81" s="4">
        <v>46110</v>
      </c>
      <c r="I81" s="7">
        <f t="shared" si="5"/>
        <v>3</v>
      </c>
      <c r="J81" s="2" t="s">
        <v>11</v>
      </c>
      <c r="K81" s="2" t="s">
        <v>7</v>
      </c>
      <c r="L81" s="2" t="s">
        <v>91</v>
      </c>
    </row>
    <row r="82" spans="1:12" ht="14.25" customHeight="1" x14ac:dyDescent="0.25">
      <c r="A82" s="2">
        <v>88</v>
      </c>
      <c r="B82" s="2" t="s">
        <v>439</v>
      </c>
      <c r="C82" s="2" t="s">
        <v>291</v>
      </c>
      <c r="D82" s="2"/>
      <c r="E82" s="2">
        <v>275000</v>
      </c>
      <c r="F82" s="2">
        <f t="shared" si="3"/>
        <v>-275000</v>
      </c>
      <c r="G82" s="2" t="str">
        <f t="shared" si="4"/>
        <v/>
      </c>
      <c r="H82" s="4">
        <v>46111</v>
      </c>
      <c r="I82" s="7">
        <f t="shared" si="5"/>
        <v>3</v>
      </c>
      <c r="J82" s="2" t="s">
        <v>9</v>
      </c>
      <c r="K82" s="2" t="s">
        <v>7</v>
      </c>
      <c r="L82" s="2" t="s">
        <v>54</v>
      </c>
    </row>
    <row r="83" spans="1:12" ht="14.25" customHeight="1" x14ac:dyDescent="0.25">
      <c r="A83" s="2">
        <v>89</v>
      </c>
      <c r="B83" s="2" t="s">
        <v>440</v>
      </c>
      <c r="C83" s="2" t="s">
        <v>292</v>
      </c>
      <c r="D83" s="2"/>
      <c r="E83" s="2">
        <v>25000000</v>
      </c>
      <c r="F83" s="2">
        <f t="shared" si="3"/>
        <v>25000000</v>
      </c>
      <c r="G83" s="2" t="str">
        <f t="shared" si="4"/>
        <v/>
      </c>
      <c r="H83" s="4">
        <v>46112</v>
      </c>
      <c r="I83" s="7">
        <f t="shared" si="5"/>
        <v>3</v>
      </c>
      <c r="J83" s="2" t="s">
        <v>13</v>
      </c>
      <c r="K83" s="2" t="s">
        <v>7</v>
      </c>
      <c r="L83" s="2" t="s">
        <v>92</v>
      </c>
    </row>
    <row r="84" spans="1:12" ht="14.25" customHeight="1" x14ac:dyDescent="0.25">
      <c r="A84" s="2">
        <v>90</v>
      </c>
      <c r="B84" s="2" t="s">
        <v>439</v>
      </c>
      <c r="C84" s="2" t="s">
        <v>293</v>
      </c>
      <c r="D84" s="2"/>
      <c r="E84" s="2">
        <v>5000000</v>
      </c>
      <c r="F84" s="2">
        <f t="shared" si="3"/>
        <v>-5000000</v>
      </c>
      <c r="G84" s="2" t="str">
        <f t="shared" si="4"/>
        <v>Chi tiêu lớn</v>
      </c>
      <c r="H84" s="4">
        <v>46026</v>
      </c>
      <c r="I84" s="7">
        <f t="shared" si="5"/>
        <v>1</v>
      </c>
      <c r="J84" s="2" t="s">
        <v>6</v>
      </c>
      <c r="K84" s="2" t="s">
        <v>7</v>
      </c>
      <c r="L84" s="2" t="s">
        <v>93</v>
      </c>
    </row>
    <row r="85" spans="1:12" ht="14.25" customHeight="1" x14ac:dyDescent="0.25">
      <c r="A85" s="2">
        <v>91</v>
      </c>
      <c r="B85" s="2" t="s">
        <v>439</v>
      </c>
      <c r="C85" s="2" t="s">
        <v>294</v>
      </c>
      <c r="D85" s="2"/>
      <c r="E85" s="2">
        <v>25000000</v>
      </c>
      <c r="F85" s="2">
        <f t="shared" si="3"/>
        <v>-25000000</v>
      </c>
      <c r="G85" s="2" t="str">
        <f t="shared" si="4"/>
        <v>Chi tiêu lớn</v>
      </c>
      <c r="H85" s="4">
        <v>46057</v>
      </c>
      <c r="I85" s="7">
        <f t="shared" si="5"/>
        <v>2</v>
      </c>
      <c r="J85" s="2" t="s">
        <v>11</v>
      </c>
      <c r="K85" s="2" t="s">
        <v>7</v>
      </c>
      <c r="L85" s="2" t="s">
        <v>94</v>
      </c>
    </row>
    <row r="86" spans="1:12" ht="14.25" customHeight="1" x14ac:dyDescent="0.25">
      <c r="A86" s="2">
        <v>92</v>
      </c>
      <c r="B86" s="2" t="s">
        <v>440</v>
      </c>
      <c r="C86" s="2" t="s">
        <v>295</v>
      </c>
      <c r="D86" s="2"/>
      <c r="E86" s="2">
        <v>500000</v>
      </c>
      <c r="F86" s="2">
        <f t="shared" si="3"/>
        <v>500000</v>
      </c>
      <c r="G86" s="2" t="str">
        <f t="shared" si="4"/>
        <v/>
      </c>
      <c r="H86" s="4">
        <v>46085</v>
      </c>
      <c r="I86" s="7">
        <f t="shared" si="5"/>
        <v>3</v>
      </c>
      <c r="J86" s="2" t="s">
        <v>11</v>
      </c>
      <c r="K86" s="2" t="s">
        <v>7</v>
      </c>
      <c r="L86" s="2" t="s">
        <v>95</v>
      </c>
    </row>
    <row r="87" spans="1:12" ht="14.25" customHeight="1" x14ac:dyDescent="0.25">
      <c r="A87" s="2">
        <v>93</v>
      </c>
      <c r="B87" s="2" t="s">
        <v>439</v>
      </c>
      <c r="C87" s="2" t="s">
        <v>296</v>
      </c>
      <c r="D87" s="2"/>
      <c r="E87" s="2">
        <v>180000</v>
      </c>
      <c r="F87" s="2">
        <f t="shared" si="3"/>
        <v>-180000</v>
      </c>
      <c r="G87" s="2" t="str">
        <f t="shared" si="4"/>
        <v/>
      </c>
      <c r="H87" s="4">
        <v>46116</v>
      </c>
      <c r="I87" s="7">
        <f t="shared" si="5"/>
        <v>4</v>
      </c>
      <c r="J87" s="2" t="s">
        <v>9</v>
      </c>
      <c r="K87" s="2" t="s">
        <v>7</v>
      </c>
      <c r="L87" s="2" t="s">
        <v>96</v>
      </c>
    </row>
    <row r="88" spans="1:12" ht="14.25" customHeight="1" x14ac:dyDescent="0.25">
      <c r="A88" s="2">
        <v>94</v>
      </c>
      <c r="B88" s="2" t="s">
        <v>439</v>
      </c>
      <c r="C88" s="2" t="s">
        <v>297</v>
      </c>
      <c r="D88" s="2"/>
      <c r="E88" s="2">
        <v>420000</v>
      </c>
      <c r="F88" s="2">
        <f t="shared" si="3"/>
        <v>-420000</v>
      </c>
      <c r="G88" s="2" t="str">
        <f t="shared" si="4"/>
        <v/>
      </c>
      <c r="H88" s="4">
        <v>46146</v>
      </c>
      <c r="I88" s="7">
        <f t="shared" si="5"/>
        <v>5</v>
      </c>
      <c r="J88" s="2" t="s">
        <v>6</v>
      </c>
      <c r="K88" s="2" t="s">
        <v>7</v>
      </c>
      <c r="L88" s="2" t="s">
        <v>97</v>
      </c>
    </row>
    <row r="89" spans="1:12" ht="14.25" customHeight="1" x14ac:dyDescent="0.25">
      <c r="A89" s="2">
        <v>95</v>
      </c>
      <c r="B89" s="2" t="s">
        <v>440</v>
      </c>
      <c r="C89" s="2" t="s">
        <v>298</v>
      </c>
      <c r="D89" s="2"/>
      <c r="E89" s="2">
        <v>78000000</v>
      </c>
      <c r="F89" s="2">
        <f t="shared" si="3"/>
        <v>78000000</v>
      </c>
      <c r="G89" s="2" t="str">
        <f t="shared" si="4"/>
        <v/>
      </c>
      <c r="H89" s="4">
        <v>46177</v>
      </c>
      <c r="I89" s="7">
        <f t="shared" si="5"/>
        <v>6</v>
      </c>
      <c r="J89" s="2" t="s">
        <v>11</v>
      </c>
      <c r="K89" s="2" t="s">
        <v>7</v>
      </c>
      <c r="L89" s="2" t="s">
        <v>98</v>
      </c>
    </row>
    <row r="90" spans="1:12" ht="14.25" customHeight="1" x14ac:dyDescent="0.25">
      <c r="A90" s="2">
        <v>96</v>
      </c>
      <c r="B90" s="2" t="s">
        <v>439</v>
      </c>
      <c r="C90" s="2" t="s">
        <v>299</v>
      </c>
      <c r="D90" s="2"/>
      <c r="E90" s="2">
        <v>650000</v>
      </c>
      <c r="F90" s="2">
        <f t="shared" si="3"/>
        <v>-650000</v>
      </c>
      <c r="G90" s="2" t="str">
        <f t="shared" si="4"/>
        <v/>
      </c>
      <c r="H90" s="4">
        <v>46207</v>
      </c>
      <c r="I90" s="7">
        <f t="shared" si="5"/>
        <v>7</v>
      </c>
      <c r="J90" s="2" t="s">
        <v>11</v>
      </c>
      <c r="K90" s="2" t="s">
        <v>7</v>
      </c>
      <c r="L90" s="2" t="s">
        <v>99</v>
      </c>
    </row>
    <row r="91" spans="1:12" ht="14.25" customHeight="1" x14ac:dyDescent="0.25">
      <c r="A91" s="2">
        <v>97</v>
      </c>
      <c r="B91" s="2" t="s">
        <v>439</v>
      </c>
      <c r="C91" s="2" t="s">
        <v>300</v>
      </c>
      <c r="D91" s="2"/>
      <c r="E91" s="2">
        <v>11000</v>
      </c>
      <c r="F91" s="2">
        <f t="shared" si="3"/>
        <v>-11000</v>
      </c>
      <c r="G91" s="2" t="str">
        <f t="shared" si="4"/>
        <v/>
      </c>
      <c r="H91" s="4">
        <v>46238</v>
      </c>
      <c r="I91" s="7">
        <f t="shared" si="5"/>
        <v>8</v>
      </c>
      <c r="J91" s="2" t="s">
        <v>6</v>
      </c>
      <c r="K91" s="2" t="s">
        <v>7</v>
      </c>
      <c r="L91" s="2" t="s">
        <v>100</v>
      </c>
    </row>
    <row r="92" spans="1:12" ht="14.25" customHeight="1" x14ac:dyDescent="0.25">
      <c r="A92" s="2">
        <v>98</v>
      </c>
      <c r="B92" s="2" t="s">
        <v>439</v>
      </c>
      <c r="C92" s="2" t="s">
        <v>301</v>
      </c>
      <c r="D92" s="2"/>
      <c r="E92" s="2">
        <v>12000000</v>
      </c>
      <c r="F92" s="2">
        <f t="shared" si="3"/>
        <v>-12000000</v>
      </c>
      <c r="G92" s="2" t="str">
        <f t="shared" si="4"/>
        <v>Chi tiêu lớn</v>
      </c>
      <c r="H92" s="4">
        <v>46269</v>
      </c>
      <c r="I92" s="7">
        <f t="shared" si="5"/>
        <v>9</v>
      </c>
      <c r="J92" s="2" t="s">
        <v>6</v>
      </c>
      <c r="K92" s="2" t="s">
        <v>7</v>
      </c>
      <c r="L92" s="2" t="s">
        <v>101</v>
      </c>
    </row>
    <row r="93" spans="1:12" ht="14.25" customHeight="1" x14ac:dyDescent="0.25">
      <c r="A93" s="2">
        <v>99</v>
      </c>
      <c r="B93" s="2" t="s">
        <v>440</v>
      </c>
      <c r="C93" s="2" t="s">
        <v>302</v>
      </c>
      <c r="D93" s="2"/>
      <c r="E93" s="2">
        <v>20000000</v>
      </c>
      <c r="F93" s="2">
        <f t="shared" si="3"/>
        <v>20000000</v>
      </c>
      <c r="G93" s="2" t="str">
        <f t="shared" si="4"/>
        <v/>
      </c>
      <c r="H93" s="4">
        <v>46299</v>
      </c>
      <c r="I93" s="7">
        <f t="shared" si="5"/>
        <v>10</v>
      </c>
      <c r="J93" s="2" t="s">
        <v>13</v>
      </c>
      <c r="K93" s="2" t="s">
        <v>7</v>
      </c>
      <c r="L93" s="2" t="s">
        <v>102</v>
      </c>
    </row>
    <row r="94" spans="1:12" ht="14.25" customHeight="1" x14ac:dyDescent="0.25">
      <c r="A94" s="2">
        <v>100</v>
      </c>
      <c r="B94" s="2" t="s">
        <v>439</v>
      </c>
      <c r="C94" s="2" t="s">
        <v>303</v>
      </c>
      <c r="D94" s="2"/>
      <c r="E94" s="2">
        <v>15000000</v>
      </c>
      <c r="F94" s="2">
        <f t="shared" si="3"/>
        <v>-15000000</v>
      </c>
      <c r="G94" s="2" t="str">
        <f t="shared" si="4"/>
        <v>Chi tiêu lớn</v>
      </c>
      <c r="H94" s="4">
        <v>46330</v>
      </c>
      <c r="I94" s="7">
        <f t="shared" si="5"/>
        <v>11</v>
      </c>
      <c r="J94" s="2" t="s">
        <v>13</v>
      </c>
      <c r="K94" s="2" t="s">
        <v>7</v>
      </c>
      <c r="L94" s="2" t="s">
        <v>103</v>
      </c>
    </row>
    <row r="95" spans="1:12" ht="14.25" customHeight="1" x14ac:dyDescent="0.25">
      <c r="A95" s="2">
        <v>101</v>
      </c>
      <c r="B95" s="2" t="s">
        <v>439</v>
      </c>
      <c r="C95" s="2" t="s">
        <v>304</v>
      </c>
      <c r="D95" s="2"/>
      <c r="E95" s="2">
        <v>450000</v>
      </c>
      <c r="F95" s="2">
        <f t="shared" si="3"/>
        <v>-450000</v>
      </c>
      <c r="G95" s="2" t="str">
        <f t="shared" si="4"/>
        <v/>
      </c>
      <c r="H95" s="4">
        <v>46360</v>
      </c>
      <c r="I95" s="7">
        <f t="shared" si="5"/>
        <v>12</v>
      </c>
      <c r="J95" s="2" t="s">
        <v>11</v>
      </c>
      <c r="K95" s="2" t="s">
        <v>7</v>
      </c>
      <c r="L95" s="2" t="s">
        <v>104</v>
      </c>
    </row>
    <row r="96" spans="1:12" ht="14.25" customHeight="1" x14ac:dyDescent="0.25">
      <c r="A96" s="2">
        <v>102</v>
      </c>
      <c r="B96" s="2" t="s">
        <v>440</v>
      </c>
      <c r="C96" s="2" t="s">
        <v>305</v>
      </c>
      <c r="D96" s="2"/>
      <c r="E96" s="2">
        <v>12000000</v>
      </c>
      <c r="F96" s="2">
        <f t="shared" si="3"/>
        <v>12000000</v>
      </c>
      <c r="G96" s="2" t="str">
        <f t="shared" si="4"/>
        <v/>
      </c>
      <c r="H96" s="4">
        <v>46125</v>
      </c>
      <c r="I96" s="7">
        <f t="shared" si="5"/>
        <v>4</v>
      </c>
      <c r="J96" s="2" t="s">
        <v>13</v>
      </c>
      <c r="K96" s="2" t="s">
        <v>7</v>
      </c>
      <c r="L96" s="2" t="s">
        <v>105</v>
      </c>
    </row>
    <row r="97" spans="1:12" ht="14.25" customHeight="1" x14ac:dyDescent="0.25">
      <c r="A97" s="2">
        <v>103</v>
      </c>
      <c r="B97" s="2" t="s">
        <v>439</v>
      </c>
      <c r="C97" s="2" t="s">
        <v>306</v>
      </c>
      <c r="D97" s="2"/>
      <c r="E97" s="2">
        <v>25000000</v>
      </c>
      <c r="F97" s="2">
        <f t="shared" si="3"/>
        <v>-25000000</v>
      </c>
      <c r="G97" s="2" t="str">
        <f t="shared" si="4"/>
        <v>Chi tiêu lớn</v>
      </c>
      <c r="H97" s="4">
        <v>46126</v>
      </c>
      <c r="I97" s="7">
        <f t="shared" si="5"/>
        <v>4</v>
      </c>
      <c r="J97" s="2" t="s">
        <v>6</v>
      </c>
      <c r="K97" s="2" t="s">
        <v>7</v>
      </c>
      <c r="L97" s="2" t="s">
        <v>106</v>
      </c>
    </row>
    <row r="98" spans="1:12" ht="14.25" customHeight="1" x14ac:dyDescent="0.25">
      <c r="A98" s="2">
        <v>104</v>
      </c>
      <c r="B98" s="2" t="s">
        <v>439</v>
      </c>
      <c r="C98" s="2" t="s">
        <v>307</v>
      </c>
      <c r="D98" s="2"/>
      <c r="E98" s="2">
        <v>75000</v>
      </c>
      <c r="F98" s="2">
        <f t="shared" si="3"/>
        <v>-75000</v>
      </c>
      <c r="G98" s="2" t="str">
        <f t="shared" si="4"/>
        <v/>
      </c>
      <c r="H98" s="4">
        <v>46127</v>
      </c>
      <c r="I98" s="7">
        <f t="shared" si="5"/>
        <v>4</v>
      </c>
      <c r="J98" s="2" t="s">
        <v>9</v>
      </c>
      <c r="K98" s="2" t="s">
        <v>7</v>
      </c>
      <c r="L98" s="2" t="s">
        <v>107</v>
      </c>
    </row>
    <row r="99" spans="1:12" ht="14.25" customHeight="1" x14ac:dyDescent="0.25">
      <c r="A99" s="2">
        <v>105</v>
      </c>
      <c r="B99" s="2" t="s">
        <v>440</v>
      </c>
      <c r="C99" s="2" t="s">
        <v>308</v>
      </c>
      <c r="D99" s="2"/>
      <c r="E99" s="2">
        <v>300000</v>
      </c>
      <c r="F99" s="2">
        <f t="shared" si="3"/>
        <v>300000</v>
      </c>
      <c r="G99" s="2" t="str">
        <f t="shared" si="4"/>
        <v/>
      </c>
      <c r="H99" s="4">
        <v>46128</v>
      </c>
      <c r="I99" s="7">
        <f t="shared" si="5"/>
        <v>4</v>
      </c>
      <c r="J99" s="2" t="s">
        <v>6</v>
      </c>
      <c r="K99" s="2" t="s">
        <v>7</v>
      </c>
      <c r="L99" s="2" t="s">
        <v>108</v>
      </c>
    </row>
    <row r="100" spans="1:12" ht="14.25" customHeight="1" x14ac:dyDescent="0.25">
      <c r="A100" s="2">
        <v>106</v>
      </c>
      <c r="B100" s="2" t="s">
        <v>439</v>
      </c>
      <c r="C100" s="2" t="s">
        <v>309</v>
      </c>
      <c r="D100" s="2"/>
      <c r="E100" s="2">
        <v>15000000</v>
      </c>
      <c r="F100" s="2">
        <f t="shared" si="3"/>
        <v>-15000000</v>
      </c>
      <c r="G100" s="2" t="str">
        <f t="shared" si="4"/>
        <v>Chi tiêu lớn</v>
      </c>
      <c r="H100" s="4">
        <v>46129</v>
      </c>
      <c r="I100" s="7">
        <f t="shared" si="5"/>
        <v>4</v>
      </c>
      <c r="J100" s="2" t="s">
        <v>11</v>
      </c>
      <c r="K100" s="2" t="s">
        <v>7</v>
      </c>
      <c r="L100" s="2" t="s">
        <v>109</v>
      </c>
    </row>
    <row r="101" spans="1:12" ht="14.25" customHeight="1" x14ac:dyDescent="0.25">
      <c r="A101" s="2">
        <v>107</v>
      </c>
      <c r="B101" s="2" t="s">
        <v>439</v>
      </c>
      <c r="C101" s="2" t="s">
        <v>310</v>
      </c>
      <c r="D101" s="2"/>
      <c r="E101" s="2">
        <v>600000</v>
      </c>
      <c r="F101" s="2">
        <f t="shared" si="3"/>
        <v>-600000</v>
      </c>
      <c r="G101" s="2" t="str">
        <f t="shared" si="4"/>
        <v/>
      </c>
      <c r="H101" s="4">
        <v>46130</v>
      </c>
      <c r="I101" s="7">
        <f t="shared" si="5"/>
        <v>4</v>
      </c>
      <c r="J101" s="2" t="s">
        <v>9</v>
      </c>
      <c r="K101" s="2" t="s">
        <v>7</v>
      </c>
      <c r="L101" s="2" t="s">
        <v>110</v>
      </c>
    </row>
    <row r="102" spans="1:12" ht="14.25" customHeight="1" x14ac:dyDescent="0.25">
      <c r="A102" s="2">
        <v>108</v>
      </c>
      <c r="B102" s="2" t="s">
        <v>439</v>
      </c>
      <c r="C102" s="2" t="s">
        <v>311</v>
      </c>
      <c r="D102" s="2"/>
      <c r="E102" s="2">
        <v>21000000</v>
      </c>
      <c r="F102" s="2">
        <f t="shared" si="3"/>
        <v>-21000000</v>
      </c>
      <c r="G102" s="2" t="str">
        <f t="shared" si="4"/>
        <v>Chi tiêu lớn</v>
      </c>
      <c r="H102" s="4">
        <v>46131</v>
      </c>
      <c r="I102" s="7">
        <f t="shared" si="5"/>
        <v>4</v>
      </c>
      <c r="J102" s="2" t="s">
        <v>6</v>
      </c>
      <c r="K102" s="2" t="s">
        <v>7</v>
      </c>
      <c r="L102" s="2" t="s">
        <v>111</v>
      </c>
    </row>
    <row r="103" spans="1:12" ht="14.25" customHeight="1" x14ac:dyDescent="0.25">
      <c r="A103" s="2">
        <v>109</v>
      </c>
      <c r="B103" s="2" t="s">
        <v>440</v>
      </c>
      <c r="C103" s="2" t="s">
        <v>312</v>
      </c>
      <c r="D103" s="2"/>
      <c r="E103" s="2">
        <v>45000000</v>
      </c>
      <c r="F103" s="2">
        <f t="shared" si="3"/>
        <v>45000000</v>
      </c>
      <c r="G103" s="2" t="str">
        <f t="shared" si="4"/>
        <v/>
      </c>
      <c r="H103" s="4">
        <v>46132</v>
      </c>
      <c r="I103" s="7">
        <f t="shared" si="5"/>
        <v>4</v>
      </c>
      <c r="J103" s="2" t="s">
        <v>13</v>
      </c>
      <c r="K103" s="2" t="s">
        <v>7</v>
      </c>
      <c r="L103" s="2" t="s">
        <v>112</v>
      </c>
    </row>
    <row r="104" spans="1:12" ht="14.25" customHeight="1" x14ac:dyDescent="0.25">
      <c r="A104" s="2">
        <v>110</v>
      </c>
      <c r="B104" s="2" t="s">
        <v>439</v>
      </c>
      <c r="C104" s="2" t="s">
        <v>313</v>
      </c>
      <c r="D104" s="2"/>
      <c r="E104" s="2">
        <v>350000</v>
      </c>
      <c r="F104" s="2">
        <f t="shared" si="3"/>
        <v>-350000</v>
      </c>
      <c r="G104" s="2" t="str">
        <f t="shared" si="4"/>
        <v/>
      </c>
      <c r="H104" s="4">
        <v>46133</v>
      </c>
      <c r="I104" s="7">
        <f t="shared" si="5"/>
        <v>4</v>
      </c>
      <c r="J104" s="2" t="s">
        <v>11</v>
      </c>
      <c r="K104" s="2" t="s">
        <v>7</v>
      </c>
      <c r="L104" s="2" t="s">
        <v>113</v>
      </c>
    </row>
    <row r="105" spans="1:12" ht="14.25" customHeight="1" x14ac:dyDescent="0.25">
      <c r="A105" s="2">
        <v>111</v>
      </c>
      <c r="B105" s="2" t="s">
        <v>439</v>
      </c>
      <c r="C105" s="2" t="s">
        <v>314</v>
      </c>
      <c r="D105" s="2"/>
      <c r="E105" s="2">
        <v>950000</v>
      </c>
      <c r="F105" s="2">
        <f t="shared" si="3"/>
        <v>-950000</v>
      </c>
      <c r="G105" s="2" t="str">
        <f t="shared" si="4"/>
        <v/>
      </c>
      <c r="H105" s="4">
        <v>46134</v>
      </c>
      <c r="I105" s="7">
        <f t="shared" si="5"/>
        <v>4</v>
      </c>
      <c r="J105" s="2" t="s">
        <v>6</v>
      </c>
      <c r="K105" s="2" t="s">
        <v>7</v>
      </c>
      <c r="L105" s="2" t="s">
        <v>114</v>
      </c>
    </row>
    <row r="106" spans="1:12" ht="14.25" customHeight="1" x14ac:dyDescent="0.25">
      <c r="A106" s="2">
        <v>112</v>
      </c>
      <c r="B106" s="2" t="s">
        <v>440</v>
      </c>
      <c r="C106" s="2" t="s">
        <v>315</v>
      </c>
      <c r="D106" s="2"/>
      <c r="E106" s="2">
        <v>200000</v>
      </c>
      <c r="F106" s="2">
        <f t="shared" si="3"/>
        <v>200000</v>
      </c>
      <c r="G106" s="2" t="str">
        <f t="shared" si="4"/>
        <v/>
      </c>
      <c r="H106" s="4">
        <v>46135</v>
      </c>
      <c r="I106" s="7">
        <f t="shared" si="5"/>
        <v>4</v>
      </c>
      <c r="J106" s="2" t="s">
        <v>13</v>
      </c>
      <c r="K106" s="2" t="s">
        <v>7</v>
      </c>
      <c r="L106" s="2" t="s">
        <v>115</v>
      </c>
    </row>
    <row r="107" spans="1:12" ht="14.25" customHeight="1" x14ac:dyDescent="0.25">
      <c r="A107" s="2">
        <v>113</v>
      </c>
      <c r="B107" s="2" t="s">
        <v>439</v>
      </c>
      <c r="C107" s="2" t="s">
        <v>316</v>
      </c>
      <c r="D107" s="2"/>
      <c r="E107" s="2">
        <v>11000000</v>
      </c>
      <c r="F107" s="2">
        <f t="shared" si="3"/>
        <v>-11000000</v>
      </c>
      <c r="G107" s="2" t="str">
        <f t="shared" si="4"/>
        <v>Chi tiêu lớn</v>
      </c>
      <c r="H107" s="4">
        <v>46136</v>
      </c>
      <c r="I107" s="7">
        <f t="shared" si="5"/>
        <v>4</v>
      </c>
      <c r="J107" s="2" t="s">
        <v>9</v>
      </c>
      <c r="K107" s="2" t="s">
        <v>7</v>
      </c>
      <c r="L107" s="2" t="s">
        <v>116</v>
      </c>
    </row>
    <row r="108" spans="1:12" ht="14.25" customHeight="1" x14ac:dyDescent="0.25">
      <c r="A108" s="2">
        <v>114</v>
      </c>
      <c r="B108" s="2" t="s">
        <v>439</v>
      </c>
      <c r="C108" s="2" t="s">
        <v>317</v>
      </c>
      <c r="D108" s="2"/>
      <c r="E108" s="2">
        <v>150000</v>
      </c>
      <c r="F108" s="2">
        <f t="shared" si="3"/>
        <v>-150000</v>
      </c>
      <c r="G108" s="2" t="str">
        <f t="shared" si="4"/>
        <v/>
      </c>
      <c r="H108" s="4">
        <v>46137</v>
      </c>
      <c r="I108" s="7">
        <f t="shared" si="5"/>
        <v>4</v>
      </c>
      <c r="J108" s="2" t="s">
        <v>11</v>
      </c>
      <c r="K108" s="2" t="s">
        <v>7</v>
      </c>
      <c r="L108" s="2" t="s">
        <v>117</v>
      </c>
    </row>
    <row r="109" spans="1:12" ht="14.25" customHeight="1" x14ac:dyDescent="0.25">
      <c r="A109" s="2">
        <v>115</v>
      </c>
      <c r="B109" s="2" t="s">
        <v>439</v>
      </c>
      <c r="C109" s="2" t="s">
        <v>318</v>
      </c>
      <c r="D109" s="2"/>
      <c r="E109" s="2">
        <v>200000</v>
      </c>
      <c r="F109" s="2">
        <f t="shared" si="3"/>
        <v>-200000</v>
      </c>
      <c r="G109" s="2" t="str">
        <f t="shared" si="4"/>
        <v/>
      </c>
      <c r="H109" s="4">
        <v>46138</v>
      </c>
      <c r="I109" s="7">
        <f t="shared" si="5"/>
        <v>4</v>
      </c>
      <c r="J109" s="2" t="s">
        <v>9</v>
      </c>
      <c r="K109" s="2" t="s">
        <v>7</v>
      </c>
      <c r="L109" s="2" t="s">
        <v>118</v>
      </c>
    </row>
    <row r="110" spans="1:12" ht="14.25" customHeight="1" x14ac:dyDescent="0.25">
      <c r="A110" s="2">
        <v>116</v>
      </c>
      <c r="B110" s="2" t="s">
        <v>440</v>
      </c>
      <c r="C110" s="2" t="s">
        <v>319</v>
      </c>
      <c r="D110" s="2"/>
      <c r="E110" s="2">
        <v>15000000</v>
      </c>
      <c r="F110" s="2">
        <f t="shared" si="3"/>
        <v>15000000</v>
      </c>
      <c r="G110" s="2" t="str">
        <f t="shared" si="4"/>
        <v/>
      </c>
      <c r="H110" s="4">
        <v>46139</v>
      </c>
      <c r="I110" s="7">
        <f t="shared" si="5"/>
        <v>4</v>
      </c>
      <c r="J110" s="2" t="s">
        <v>11</v>
      </c>
      <c r="K110" s="2" t="s">
        <v>7</v>
      </c>
      <c r="L110" s="2" t="s">
        <v>119</v>
      </c>
    </row>
    <row r="111" spans="1:12" ht="14.25" customHeight="1" x14ac:dyDescent="0.25">
      <c r="A111" s="2">
        <v>117</v>
      </c>
      <c r="B111" s="2" t="s">
        <v>439</v>
      </c>
      <c r="C111" s="2" t="s">
        <v>320</v>
      </c>
      <c r="D111" s="2"/>
      <c r="E111" s="2">
        <v>12000000</v>
      </c>
      <c r="F111" s="2">
        <f t="shared" si="3"/>
        <v>-12000000</v>
      </c>
      <c r="G111" s="2" t="str">
        <f t="shared" si="4"/>
        <v>Chi tiêu lớn</v>
      </c>
      <c r="H111" s="4">
        <v>46140</v>
      </c>
      <c r="I111" s="7">
        <f t="shared" si="5"/>
        <v>4</v>
      </c>
      <c r="J111" s="2" t="s">
        <v>6</v>
      </c>
      <c r="K111" s="2" t="s">
        <v>7</v>
      </c>
      <c r="L111" s="2" t="s">
        <v>57</v>
      </c>
    </row>
    <row r="112" spans="1:12" ht="14.25" customHeight="1" x14ac:dyDescent="0.25">
      <c r="A112" s="2">
        <v>119</v>
      </c>
      <c r="B112" s="2" t="s">
        <v>440</v>
      </c>
      <c r="C112" s="2" t="s">
        <v>321</v>
      </c>
      <c r="D112" s="2"/>
      <c r="E112" s="2">
        <v>2000000</v>
      </c>
      <c r="F112" s="2">
        <f t="shared" si="3"/>
        <v>2000000</v>
      </c>
      <c r="G112" s="2" t="str">
        <f t="shared" si="4"/>
        <v/>
      </c>
      <c r="H112" s="4">
        <v>46142</v>
      </c>
      <c r="I112" s="7">
        <f t="shared" si="5"/>
        <v>4</v>
      </c>
      <c r="J112" s="2" t="s">
        <v>13</v>
      </c>
      <c r="K112" s="2" t="s">
        <v>7</v>
      </c>
      <c r="L112" s="2" t="s">
        <v>10</v>
      </c>
    </row>
    <row r="113" spans="1:12" ht="14.25" customHeight="1" x14ac:dyDescent="0.25">
      <c r="A113" s="2">
        <v>120</v>
      </c>
      <c r="B113" s="2" t="s">
        <v>439</v>
      </c>
      <c r="C113" s="2" t="s">
        <v>322</v>
      </c>
      <c r="D113" s="2"/>
      <c r="E113" s="2">
        <v>45000000</v>
      </c>
      <c r="F113" s="2">
        <f t="shared" si="3"/>
        <v>-45000000</v>
      </c>
      <c r="G113" s="2" t="str">
        <f t="shared" si="4"/>
        <v>Chi tiêu lớn</v>
      </c>
      <c r="H113" s="4">
        <v>46027</v>
      </c>
      <c r="I113" s="7">
        <f t="shared" si="5"/>
        <v>1</v>
      </c>
      <c r="J113" s="2" t="s">
        <v>11</v>
      </c>
      <c r="K113" s="2" t="s">
        <v>7</v>
      </c>
      <c r="L113" s="2" t="s">
        <v>120</v>
      </c>
    </row>
    <row r="114" spans="1:12" ht="14.25" customHeight="1" x14ac:dyDescent="0.25">
      <c r="A114" s="2">
        <v>121</v>
      </c>
      <c r="B114" s="2" t="s">
        <v>439</v>
      </c>
      <c r="C114" s="2" t="s">
        <v>323</v>
      </c>
      <c r="D114" s="2"/>
      <c r="E114" s="2">
        <v>300000</v>
      </c>
      <c r="F114" s="2">
        <f t="shared" si="3"/>
        <v>-300000</v>
      </c>
      <c r="G114" s="2" t="str">
        <f t="shared" si="4"/>
        <v/>
      </c>
      <c r="H114" s="4">
        <v>46058</v>
      </c>
      <c r="I114" s="7">
        <f t="shared" si="5"/>
        <v>2</v>
      </c>
      <c r="J114" s="2" t="s">
        <v>11</v>
      </c>
      <c r="K114" s="2" t="s">
        <v>7</v>
      </c>
      <c r="L114" s="2" t="s">
        <v>121</v>
      </c>
    </row>
    <row r="115" spans="1:12" ht="14.25" customHeight="1" x14ac:dyDescent="0.25">
      <c r="A115" s="2">
        <v>122</v>
      </c>
      <c r="B115" s="2" t="s">
        <v>440</v>
      </c>
      <c r="C115" s="2" t="s">
        <v>324</v>
      </c>
      <c r="D115" s="2"/>
      <c r="E115" s="2">
        <v>25000000</v>
      </c>
      <c r="F115" s="2">
        <f t="shared" si="3"/>
        <v>25000000</v>
      </c>
      <c r="G115" s="2" t="str">
        <f t="shared" si="4"/>
        <v/>
      </c>
      <c r="H115" s="4">
        <v>46086</v>
      </c>
      <c r="I115" s="7">
        <f t="shared" si="5"/>
        <v>3</v>
      </c>
      <c r="J115" s="2" t="s">
        <v>13</v>
      </c>
      <c r="K115" s="2" t="s">
        <v>7</v>
      </c>
      <c r="L115" s="2" t="s">
        <v>122</v>
      </c>
    </row>
    <row r="116" spans="1:12" ht="14.25" customHeight="1" x14ac:dyDescent="0.25">
      <c r="A116" s="2">
        <v>123</v>
      </c>
      <c r="B116" s="2" t="s">
        <v>439</v>
      </c>
      <c r="C116" s="2" t="s">
        <v>325</v>
      </c>
      <c r="D116" s="2"/>
      <c r="E116" s="2">
        <v>120000</v>
      </c>
      <c r="F116" s="2">
        <f t="shared" si="3"/>
        <v>-120000</v>
      </c>
      <c r="G116" s="2" t="str">
        <f t="shared" si="4"/>
        <v/>
      </c>
      <c r="H116" s="4">
        <v>46117</v>
      </c>
      <c r="I116" s="7">
        <f t="shared" si="5"/>
        <v>4</v>
      </c>
      <c r="J116" s="2" t="s">
        <v>9</v>
      </c>
      <c r="K116" s="2" t="s">
        <v>7</v>
      </c>
      <c r="L116" s="2" t="s">
        <v>123</v>
      </c>
    </row>
    <row r="117" spans="1:12" ht="14.25" customHeight="1" x14ac:dyDescent="0.25">
      <c r="A117" s="2">
        <v>124</v>
      </c>
      <c r="B117" s="2" t="s">
        <v>439</v>
      </c>
      <c r="C117" s="2" t="s">
        <v>326</v>
      </c>
      <c r="D117" s="2"/>
      <c r="E117" s="2">
        <v>200000</v>
      </c>
      <c r="F117" s="2">
        <f t="shared" si="3"/>
        <v>-200000</v>
      </c>
      <c r="G117" s="2" t="str">
        <f t="shared" si="4"/>
        <v/>
      </c>
      <c r="H117" s="4">
        <v>46147</v>
      </c>
      <c r="I117" s="7">
        <f t="shared" si="5"/>
        <v>5</v>
      </c>
      <c r="J117" s="2" t="s">
        <v>9</v>
      </c>
      <c r="K117" s="2" t="s">
        <v>7</v>
      </c>
      <c r="L117" s="2" t="s">
        <v>54</v>
      </c>
    </row>
    <row r="118" spans="1:12" ht="14.25" customHeight="1" x14ac:dyDescent="0.25">
      <c r="A118" s="2">
        <v>125</v>
      </c>
      <c r="B118" s="2" t="s">
        <v>440</v>
      </c>
      <c r="C118" s="2" t="s">
        <v>327</v>
      </c>
      <c r="D118" s="2"/>
      <c r="E118" s="2">
        <v>6000000</v>
      </c>
      <c r="F118" s="2">
        <f t="shared" si="3"/>
        <v>6000000</v>
      </c>
      <c r="G118" s="2" t="str">
        <f t="shared" si="4"/>
        <v/>
      </c>
      <c r="H118" s="4">
        <v>46178</v>
      </c>
      <c r="I118" s="7">
        <f t="shared" si="5"/>
        <v>6</v>
      </c>
      <c r="J118" s="2" t="s">
        <v>13</v>
      </c>
      <c r="K118" s="2" t="s">
        <v>7</v>
      </c>
      <c r="L118" s="2" t="s">
        <v>124</v>
      </c>
    </row>
    <row r="119" spans="1:12" ht="14.25" customHeight="1" x14ac:dyDescent="0.25">
      <c r="A119" s="2">
        <v>126</v>
      </c>
      <c r="B119" s="2" t="s">
        <v>439</v>
      </c>
      <c r="C119" s="2" t="s">
        <v>328</v>
      </c>
      <c r="D119" s="2"/>
      <c r="E119" s="2">
        <v>38000000</v>
      </c>
      <c r="F119" s="2">
        <f t="shared" si="3"/>
        <v>-38000000</v>
      </c>
      <c r="G119" s="2" t="str">
        <f t="shared" si="4"/>
        <v>Chi tiêu lớn</v>
      </c>
      <c r="H119" s="4">
        <v>46208</v>
      </c>
      <c r="I119" s="7">
        <f t="shared" si="5"/>
        <v>7</v>
      </c>
      <c r="J119" s="2" t="s">
        <v>6</v>
      </c>
      <c r="K119" s="2" t="s">
        <v>7</v>
      </c>
      <c r="L119" s="2" t="s">
        <v>125</v>
      </c>
    </row>
    <row r="120" spans="1:12" ht="14.25" customHeight="1" x14ac:dyDescent="0.25">
      <c r="A120" s="2">
        <v>127</v>
      </c>
      <c r="B120" s="2" t="s">
        <v>439</v>
      </c>
      <c r="C120" s="2" t="s">
        <v>329</v>
      </c>
      <c r="D120" s="2"/>
      <c r="E120" s="2">
        <v>900000</v>
      </c>
      <c r="F120" s="2">
        <f t="shared" si="3"/>
        <v>-900000</v>
      </c>
      <c r="G120" s="2" t="str">
        <f t="shared" si="4"/>
        <v/>
      </c>
      <c r="H120" s="4">
        <v>46239</v>
      </c>
      <c r="I120" s="7">
        <f t="shared" si="5"/>
        <v>8</v>
      </c>
      <c r="J120" s="2" t="s">
        <v>11</v>
      </c>
      <c r="K120" s="2" t="s">
        <v>7</v>
      </c>
      <c r="L120" s="2" t="s">
        <v>126</v>
      </c>
    </row>
    <row r="121" spans="1:12" ht="14.25" customHeight="1" x14ac:dyDescent="0.25">
      <c r="A121" s="2">
        <v>128</v>
      </c>
      <c r="B121" s="2" t="s">
        <v>439</v>
      </c>
      <c r="C121" s="2" t="s">
        <v>330</v>
      </c>
      <c r="D121" s="2"/>
      <c r="E121" s="2">
        <v>14000000</v>
      </c>
      <c r="F121" s="2">
        <f t="shared" si="3"/>
        <v>-14000000</v>
      </c>
      <c r="G121" s="2" t="str">
        <f t="shared" si="4"/>
        <v>Chi tiêu lớn</v>
      </c>
      <c r="H121" s="4">
        <v>46270</v>
      </c>
      <c r="I121" s="7">
        <f t="shared" si="5"/>
        <v>9</v>
      </c>
      <c r="J121" s="2" t="s">
        <v>6</v>
      </c>
      <c r="K121" s="2" t="s">
        <v>7</v>
      </c>
      <c r="L121" s="2" t="s">
        <v>127</v>
      </c>
    </row>
    <row r="122" spans="1:12" ht="14.25" customHeight="1" x14ac:dyDescent="0.25">
      <c r="A122" s="2">
        <v>129</v>
      </c>
      <c r="B122" s="2" t="s">
        <v>440</v>
      </c>
      <c r="C122" s="2" t="s">
        <v>331</v>
      </c>
      <c r="D122" s="2"/>
      <c r="E122" s="2">
        <v>150000</v>
      </c>
      <c r="F122" s="2">
        <f t="shared" si="3"/>
        <v>150000</v>
      </c>
      <c r="G122" s="2" t="str">
        <f t="shared" si="4"/>
        <v/>
      </c>
      <c r="H122" s="4">
        <v>46300</v>
      </c>
      <c r="I122" s="7">
        <f t="shared" si="5"/>
        <v>10</v>
      </c>
      <c r="J122" s="2" t="s">
        <v>9</v>
      </c>
      <c r="K122" s="2" t="s">
        <v>7</v>
      </c>
      <c r="L122" s="2" t="s">
        <v>128</v>
      </c>
    </row>
    <row r="123" spans="1:12" ht="14.25" customHeight="1" x14ac:dyDescent="0.25">
      <c r="A123" s="2">
        <v>130</v>
      </c>
      <c r="B123" s="2" t="s">
        <v>439</v>
      </c>
      <c r="C123" s="2" t="s">
        <v>332</v>
      </c>
      <c r="D123" s="2"/>
      <c r="E123" s="2">
        <v>40000</v>
      </c>
      <c r="F123" s="2">
        <f t="shared" si="3"/>
        <v>-40000</v>
      </c>
      <c r="G123" s="2" t="str">
        <f t="shared" si="4"/>
        <v/>
      </c>
      <c r="H123" s="4">
        <v>46331</v>
      </c>
      <c r="I123" s="7">
        <f t="shared" si="5"/>
        <v>11</v>
      </c>
      <c r="J123" s="2" t="s">
        <v>11</v>
      </c>
      <c r="K123" s="2" t="s">
        <v>7</v>
      </c>
      <c r="L123" s="2" t="s">
        <v>129</v>
      </c>
    </row>
    <row r="124" spans="1:12" ht="14.25" customHeight="1" x14ac:dyDescent="0.25">
      <c r="A124" s="2">
        <v>131</v>
      </c>
      <c r="B124" s="2" t="s">
        <v>439</v>
      </c>
      <c r="C124" s="2" t="s">
        <v>288</v>
      </c>
      <c r="D124" s="2"/>
      <c r="E124" s="2">
        <v>700000</v>
      </c>
      <c r="F124" s="2">
        <f t="shared" si="3"/>
        <v>-700000</v>
      </c>
      <c r="G124" s="2" t="str">
        <f t="shared" si="4"/>
        <v/>
      </c>
      <c r="H124" s="4">
        <v>46361</v>
      </c>
      <c r="I124" s="7">
        <f t="shared" si="5"/>
        <v>12</v>
      </c>
      <c r="J124" s="2" t="s">
        <v>6</v>
      </c>
      <c r="K124" s="2" t="s">
        <v>7</v>
      </c>
      <c r="L124" s="2" t="s">
        <v>130</v>
      </c>
    </row>
    <row r="125" spans="1:12" ht="14.25" customHeight="1" x14ac:dyDescent="0.25">
      <c r="A125" s="2">
        <v>132</v>
      </c>
      <c r="B125" s="2" t="s">
        <v>440</v>
      </c>
      <c r="C125" s="2" t="s">
        <v>333</v>
      </c>
      <c r="D125" s="2"/>
      <c r="E125" s="2">
        <v>2000000</v>
      </c>
      <c r="F125" s="2">
        <f t="shared" si="3"/>
        <v>2000000</v>
      </c>
      <c r="G125" s="2" t="str">
        <f t="shared" si="4"/>
        <v/>
      </c>
      <c r="H125" s="4">
        <v>46155</v>
      </c>
      <c r="I125" s="7">
        <f t="shared" si="5"/>
        <v>5</v>
      </c>
      <c r="J125" s="2" t="s">
        <v>6</v>
      </c>
      <c r="K125" s="2" t="s">
        <v>7</v>
      </c>
      <c r="L125" s="2" t="s">
        <v>131</v>
      </c>
    </row>
    <row r="126" spans="1:12" ht="14.25" customHeight="1" x14ac:dyDescent="0.25">
      <c r="A126" s="2">
        <v>133</v>
      </c>
      <c r="B126" s="2" t="s">
        <v>439</v>
      </c>
      <c r="C126" s="2" t="s">
        <v>334</v>
      </c>
      <c r="D126" s="2"/>
      <c r="E126" s="2">
        <v>500000</v>
      </c>
      <c r="F126" s="2">
        <f t="shared" si="3"/>
        <v>-500000</v>
      </c>
      <c r="G126" s="2" t="str">
        <f t="shared" si="4"/>
        <v/>
      </c>
      <c r="H126" s="4">
        <v>46156</v>
      </c>
      <c r="I126" s="7">
        <f t="shared" si="5"/>
        <v>5</v>
      </c>
      <c r="J126" s="2" t="s">
        <v>13</v>
      </c>
      <c r="K126" s="2" t="s">
        <v>7</v>
      </c>
      <c r="L126" s="2" t="s">
        <v>132</v>
      </c>
    </row>
    <row r="127" spans="1:12" ht="14.25" customHeight="1" x14ac:dyDescent="0.25">
      <c r="A127" s="2">
        <v>134</v>
      </c>
      <c r="B127" s="2" t="s">
        <v>439</v>
      </c>
      <c r="C127" s="2" t="s">
        <v>335</v>
      </c>
      <c r="D127" s="2"/>
      <c r="E127" s="2">
        <v>130000</v>
      </c>
      <c r="F127" s="2">
        <f t="shared" si="3"/>
        <v>-130000</v>
      </c>
      <c r="G127" s="2" t="str">
        <f t="shared" si="4"/>
        <v/>
      </c>
      <c r="H127" s="4">
        <v>46157</v>
      </c>
      <c r="I127" s="7">
        <f t="shared" si="5"/>
        <v>5</v>
      </c>
      <c r="J127" s="2" t="s">
        <v>9</v>
      </c>
      <c r="K127" s="2" t="s">
        <v>7</v>
      </c>
      <c r="L127" s="2" t="s">
        <v>133</v>
      </c>
    </row>
    <row r="128" spans="1:12" ht="14.25" customHeight="1" x14ac:dyDescent="0.25">
      <c r="A128" s="2">
        <v>135</v>
      </c>
      <c r="B128" s="2" t="s">
        <v>439</v>
      </c>
      <c r="C128" s="2" t="s">
        <v>297</v>
      </c>
      <c r="D128" s="2"/>
      <c r="E128" s="2">
        <v>250000</v>
      </c>
      <c r="F128" s="2">
        <f t="shared" si="3"/>
        <v>-250000</v>
      </c>
      <c r="G128" s="2" t="str">
        <f t="shared" si="4"/>
        <v/>
      </c>
      <c r="H128" s="4">
        <v>46158</v>
      </c>
      <c r="I128" s="7">
        <f t="shared" si="5"/>
        <v>5</v>
      </c>
      <c r="J128" s="2" t="s">
        <v>11</v>
      </c>
      <c r="K128" s="2" t="s">
        <v>7</v>
      </c>
      <c r="L128" s="2" t="s">
        <v>134</v>
      </c>
    </row>
    <row r="129" spans="1:12" ht="14.25" customHeight="1" x14ac:dyDescent="0.25">
      <c r="A129" s="2">
        <v>136</v>
      </c>
      <c r="B129" s="2" t="s">
        <v>440</v>
      </c>
      <c r="C129" s="2" t="s">
        <v>336</v>
      </c>
      <c r="D129" s="2"/>
      <c r="E129" s="2">
        <v>80000</v>
      </c>
      <c r="F129" s="2">
        <f t="shared" si="3"/>
        <v>80000</v>
      </c>
      <c r="G129" s="2" t="str">
        <f t="shared" si="4"/>
        <v/>
      </c>
      <c r="H129" s="4">
        <v>46159</v>
      </c>
      <c r="I129" s="7">
        <f t="shared" si="5"/>
        <v>5</v>
      </c>
      <c r="J129" s="2" t="s">
        <v>11</v>
      </c>
      <c r="K129" s="2" t="s">
        <v>7</v>
      </c>
      <c r="L129" s="2" t="s">
        <v>135</v>
      </c>
    </row>
    <row r="130" spans="1:12" ht="14.25" customHeight="1" x14ac:dyDescent="0.25">
      <c r="A130" s="2">
        <v>137</v>
      </c>
      <c r="B130" s="2" t="s">
        <v>439</v>
      </c>
      <c r="C130" s="2" t="s">
        <v>337</v>
      </c>
      <c r="D130" s="2"/>
      <c r="E130" s="2">
        <v>11000000</v>
      </c>
      <c r="F130" s="2">
        <f t="shared" ref="F130:F193" si="6">IF(TRIM(B130)="Thu", E130, -E130)</f>
        <v>-11000000</v>
      </c>
      <c r="G130" s="2" t="str">
        <f t="shared" ref="G130:G193" si="7">IF(AND(B130="Chi", E130&gt;2000000), "Chi tiêu lớn", "")</f>
        <v>Chi tiêu lớn</v>
      </c>
      <c r="H130" s="4">
        <v>46160</v>
      </c>
      <c r="I130" s="7">
        <f t="shared" ref="I130:I193" si="8">MONTH(H130)</f>
        <v>5</v>
      </c>
      <c r="J130" s="2" t="s">
        <v>6</v>
      </c>
      <c r="K130" s="2" t="s">
        <v>7</v>
      </c>
      <c r="L130" s="2" t="s">
        <v>136</v>
      </c>
    </row>
    <row r="131" spans="1:12" ht="14.25" customHeight="1" x14ac:dyDescent="0.25">
      <c r="A131" s="2">
        <v>138</v>
      </c>
      <c r="B131" s="2" t="s">
        <v>439</v>
      </c>
      <c r="C131" s="2" t="s">
        <v>338</v>
      </c>
      <c r="D131" s="2"/>
      <c r="E131" s="2">
        <v>100000</v>
      </c>
      <c r="F131" s="2">
        <f t="shared" si="6"/>
        <v>-100000</v>
      </c>
      <c r="G131" s="2" t="str">
        <f t="shared" si="7"/>
        <v/>
      </c>
      <c r="H131" s="4">
        <v>46161</v>
      </c>
      <c r="I131" s="7">
        <f t="shared" si="8"/>
        <v>5</v>
      </c>
      <c r="J131" s="2" t="s">
        <v>11</v>
      </c>
      <c r="K131" s="2" t="s">
        <v>7</v>
      </c>
      <c r="L131" s="2" t="s">
        <v>137</v>
      </c>
    </row>
    <row r="132" spans="1:12" ht="14.25" customHeight="1" x14ac:dyDescent="0.25">
      <c r="A132" s="2">
        <v>139</v>
      </c>
      <c r="B132" s="2" t="s">
        <v>440</v>
      </c>
      <c r="C132" s="2" t="s">
        <v>339</v>
      </c>
      <c r="D132" s="2"/>
      <c r="E132" s="2">
        <v>12000000</v>
      </c>
      <c r="F132" s="2">
        <f t="shared" si="6"/>
        <v>12000000</v>
      </c>
      <c r="G132" s="2" t="str">
        <f t="shared" si="7"/>
        <v/>
      </c>
      <c r="H132" s="4">
        <v>46162</v>
      </c>
      <c r="I132" s="7">
        <f t="shared" si="8"/>
        <v>5</v>
      </c>
      <c r="J132" s="2" t="s">
        <v>13</v>
      </c>
      <c r="K132" s="2" t="s">
        <v>7</v>
      </c>
      <c r="L132" s="2" t="s">
        <v>138</v>
      </c>
    </row>
    <row r="133" spans="1:12" ht="14.25" customHeight="1" x14ac:dyDescent="0.25">
      <c r="A133" s="2">
        <v>140</v>
      </c>
      <c r="B133" s="2" t="s">
        <v>439</v>
      </c>
      <c r="C133" s="2" t="s">
        <v>340</v>
      </c>
      <c r="D133" s="2"/>
      <c r="E133" s="2">
        <v>300000</v>
      </c>
      <c r="F133" s="2">
        <f t="shared" si="6"/>
        <v>-300000</v>
      </c>
      <c r="G133" s="2" t="str">
        <f t="shared" si="7"/>
        <v/>
      </c>
      <c r="H133" s="4">
        <v>46163</v>
      </c>
      <c r="I133" s="7">
        <f t="shared" si="8"/>
        <v>5</v>
      </c>
      <c r="J133" s="2" t="s">
        <v>11</v>
      </c>
      <c r="K133" s="2" t="s">
        <v>7</v>
      </c>
      <c r="L133" s="2" t="s">
        <v>139</v>
      </c>
    </row>
    <row r="134" spans="1:12" ht="14.25" customHeight="1" x14ac:dyDescent="0.25">
      <c r="A134" s="2">
        <v>141</v>
      </c>
      <c r="B134" s="2" t="s">
        <v>439</v>
      </c>
      <c r="C134" s="2" t="s">
        <v>341</v>
      </c>
      <c r="D134" s="2"/>
      <c r="E134" s="2">
        <v>650000</v>
      </c>
      <c r="F134" s="2">
        <f t="shared" si="6"/>
        <v>-650000</v>
      </c>
      <c r="G134" s="2" t="str">
        <f t="shared" si="7"/>
        <v/>
      </c>
      <c r="H134" s="4">
        <v>46164</v>
      </c>
      <c r="I134" s="7">
        <f t="shared" si="8"/>
        <v>5</v>
      </c>
      <c r="J134" s="2" t="s">
        <v>6</v>
      </c>
      <c r="K134" s="2" t="s">
        <v>7</v>
      </c>
      <c r="L134" s="2" t="s">
        <v>140</v>
      </c>
    </row>
    <row r="135" spans="1:12" ht="14.25" customHeight="1" x14ac:dyDescent="0.25">
      <c r="A135" s="2">
        <v>143</v>
      </c>
      <c r="B135" s="2" t="s">
        <v>440</v>
      </c>
      <c r="C135" s="2" t="s">
        <v>264</v>
      </c>
      <c r="D135" s="2"/>
      <c r="E135" s="2">
        <v>500000</v>
      </c>
      <c r="F135" s="2">
        <f t="shared" si="6"/>
        <v>500000</v>
      </c>
      <c r="G135" s="2" t="str">
        <f t="shared" si="7"/>
        <v/>
      </c>
      <c r="H135" s="4">
        <v>46166</v>
      </c>
      <c r="I135" s="7">
        <f t="shared" si="8"/>
        <v>5</v>
      </c>
      <c r="J135" s="2" t="s">
        <v>13</v>
      </c>
      <c r="K135" s="2" t="s">
        <v>7</v>
      </c>
      <c r="L135" s="2" t="s">
        <v>141</v>
      </c>
    </row>
    <row r="136" spans="1:12" ht="14.25" customHeight="1" x14ac:dyDescent="0.25">
      <c r="A136" s="2">
        <v>144</v>
      </c>
      <c r="B136" s="2" t="s">
        <v>439</v>
      </c>
      <c r="C136" s="2" t="s">
        <v>314</v>
      </c>
      <c r="D136" s="2"/>
      <c r="E136" s="2">
        <v>13000000</v>
      </c>
      <c r="F136" s="2">
        <f t="shared" si="6"/>
        <v>-13000000</v>
      </c>
      <c r="G136" s="2" t="str">
        <f t="shared" si="7"/>
        <v>Chi tiêu lớn</v>
      </c>
      <c r="H136" s="4">
        <v>46167</v>
      </c>
      <c r="I136" s="7">
        <f t="shared" si="8"/>
        <v>5</v>
      </c>
      <c r="J136" s="2" t="s">
        <v>6</v>
      </c>
      <c r="K136" s="2" t="s">
        <v>7</v>
      </c>
      <c r="L136" s="2" t="s">
        <v>142</v>
      </c>
    </row>
    <row r="137" spans="1:12" ht="14.25" customHeight="1" x14ac:dyDescent="0.25">
      <c r="A137" s="2">
        <v>145</v>
      </c>
      <c r="B137" s="2" t="s">
        <v>439</v>
      </c>
      <c r="C137" s="2" t="s">
        <v>342</v>
      </c>
      <c r="D137" s="2"/>
      <c r="E137" s="2">
        <v>100000</v>
      </c>
      <c r="F137" s="2">
        <f t="shared" si="6"/>
        <v>-100000</v>
      </c>
      <c r="G137" s="2" t="str">
        <f t="shared" si="7"/>
        <v/>
      </c>
      <c r="H137" s="4">
        <v>46168</v>
      </c>
      <c r="I137" s="7">
        <f t="shared" si="8"/>
        <v>5</v>
      </c>
      <c r="J137" s="2" t="s">
        <v>9</v>
      </c>
      <c r="K137" s="2" t="s">
        <v>7</v>
      </c>
      <c r="L137" s="2" t="s">
        <v>143</v>
      </c>
    </row>
    <row r="138" spans="1:12" ht="14.25" customHeight="1" x14ac:dyDescent="0.25">
      <c r="A138" s="2">
        <v>146</v>
      </c>
      <c r="B138" s="2" t="s">
        <v>440</v>
      </c>
      <c r="C138" s="2" t="s">
        <v>343</v>
      </c>
      <c r="D138" s="2"/>
      <c r="E138" s="2">
        <v>200000</v>
      </c>
      <c r="F138" s="2">
        <f t="shared" si="6"/>
        <v>200000</v>
      </c>
      <c r="G138" s="2" t="str">
        <f t="shared" si="7"/>
        <v/>
      </c>
      <c r="H138" s="4">
        <v>46169</v>
      </c>
      <c r="I138" s="7">
        <f t="shared" si="8"/>
        <v>5</v>
      </c>
      <c r="J138" s="2" t="s">
        <v>9</v>
      </c>
      <c r="K138" s="2" t="s">
        <v>7</v>
      </c>
      <c r="L138" s="2" t="s">
        <v>144</v>
      </c>
    </row>
    <row r="139" spans="1:12" ht="14.25" customHeight="1" x14ac:dyDescent="0.25">
      <c r="A139" s="2">
        <v>147</v>
      </c>
      <c r="B139" s="2" t="s">
        <v>439</v>
      </c>
      <c r="C139" s="2" t="s">
        <v>344</v>
      </c>
      <c r="D139" s="2"/>
      <c r="E139" s="2">
        <v>150000</v>
      </c>
      <c r="F139" s="2">
        <f t="shared" si="6"/>
        <v>-150000</v>
      </c>
      <c r="G139" s="2" t="str">
        <f t="shared" si="7"/>
        <v/>
      </c>
      <c r="H139" s="4">
        <v>46170</v>
      </c>
      <c r="I139" s="7">
        <f t="shared" si="8"/>
        <v>5</v>
      </c>
      <c r="J139" s="2" t="s">
        <v>11</v>
      </c>
      <c r="K139" s="2" t="s">
        <v>7</v>
      </c>
      <c r="L139" s="2" t="s">
        <v>25</v>
      </c>
    </row>
    <row r="140" spans="1:12" ht="14.25" customHeight="1" x14ac:dyDescent="0.25">
      <c r="A140" s="2">
        <v>148</v>
      </c>
      <c r="B140" s="2" t="s">
        <v>439</v>
      </c>
      <c r="C140" s="2" t="s">
        <v>345</v>
      </c>
      <c r="D140" s="2"/>
      <c r="E140" s="2">
        <v>55000</v>
      </c>
      <c r="F140" s="2">
        <f t="shared" si="6"/>
        <v>-55000</v>
      </c>
      <c r="G140" s="2" t="str">
        <f t="shared" si="7"/>
        <v/>
      </c>
      <c r="H140" s="4">
        <v>46171</v>
      </c>
      <c r="I140" s="7">
        <f t="shared" si="8"/>
        <v>5</v>
      </c>
      <c r="J140" s="2" t="s">
        <v>11</v>
      </c>
      <c r="K140" s="2" t="s">
        <v>7</v>
      </c>
      <c r="L140" s="2" t="s">
        <v>145</v>
      </c>
    </row>
    <row r="141" spans="1:12" ht="14.25" customHeight="1" x14ac:dyDescent="0.25">
      <c r="A141" s="2">
        <v>149</v>
      </c>
      <c r="B141" s="2" t="s">
        <v>440</v>
      </c>
      <c r="C141" s="2" t="s">
        <v>346</v>
      </c>
      <c r="D141" s="2"/>
      <c r="E141" s="2">
        <v>25000000</v>
      </c>
      <c r="F141" s="2">
        <f t="shared" si="6"/>
        <v>25000000</v>
      </c>
      <c r="G141" s="2" t="str">
        <f t="shared" si="7"/>
        <v/>
      </c>
      <c r="H141" s="4">
        <v>46172</v>
      </c>
      <c r="I141" s="7">
        <f t="shared" si="8"/>
        <v>5</v>
      </c>
      <c r="J141" s="2" t="s">
        <v>13</v>
      </c>
      <c r="K141" s="2" t="s">
        <v>7</v>
      </c>
      <c r="L141" s="2" t="s">
        <v>146</v>
      </c>
    </row>
    <row r="142" spans="1:12" ht="14.25" customHeight="1" x14ac:dyDescent="0.25">
      <c r="A142" s="2">
        <v>151</v>
      </c>
      <c r="B142" s="2" t="s">
        <v>440</v>
      </c>
      <c r="C142" s="2" t="s">
        <v>347</v>
      </c>
      <c r="D142" s="2"/>
      <c r="E142" s="2">
        <v>25000000</v>
      </c>
      <c r="F142" s="2">
        <f t="shared" si="6"/>
        <v>25000000</v>
      </c>
      <c r="G142" s="2" t="str">
        <f t="shared" si="7"/>
        <v/>
      </c>
      <c r="H142" s="4">
        <v>46028</v>
      </c>
      <c r="I142" s="7">
        <f t="shared" si="8"/>
        <v>1</v>
      </c>
      <c r="J142" s="2" t="s">
        <v>13</v>
      </c>
      <c r="K142" s="2" t="s">
        <v>7</v>
      </c>
      <c r="L142" s="2" t="s">
        <v>92</v>
      </c>
    </row>
    <row r="143" spans="1:12" ht="14.25" customHeight="1" x14ac:dyDescent="0.25">
      <c r="A143" s="2">
        <v>152</v>
      </c>
      <c r="B143" s="2" t="s">
        <v>439</v>
      </c>
      <c r="C143" s="2" t="s">
        <v>348</v>
      </c>
      <c r="D143" s="2"/>
      <c r="E143" s="2">
        <v>225000000</v>
      </c>
      <c r="F143" s="2">
        <f t="shared" si="6"/>
        <v>-225000000</v>
      </c>
      <c r="G143" s="2" t="str">
        <f t="shared" si="7"/>
        <v>Chi tiêu lớn</v>
      </c>
      <c r="H143" s="4">
        <v>46059</v>
      </c>
      <c r="I143" s="7">
        <f t="shared" si="8"/>
        <v>2</v>
      </c>
      <c r="J143" s="2" t="s">
        <v>6</v>
      </c>
      <c r="K143" s="2" t="s">
        <v>7</v>
      </c>
      <c r="L143" s="2" t="s">
        <v>147</v>
      </c>
    </row>
    <row r="144" spans="1:12" ht="14.25" customHeight="1" x14ac:dyDescent="0.25">
      <c r="A144" s="2">
        <v>153</v>
      </c>
      <c r="B144" s="2" t="s">
        <v>439</v>
      </c>
      <c r="C144" s="2" t="s">
        <v>349</v>
      </c>
      <c r="D144" s="2"/>
      <c r="E144" s="2">
        <v>32000000</v>
      </c>
      <c r="F144" s="2">
        <f t="shared" si="6"/>
        <v>-32000000</v>
      </c>
      <c r="G144" s="2" t="str">
        <f t="shared" si="7"/>
        <v>Chi tiêu lớn</v>
      </c>
      <c r="H144" s="4">
        <v>46087</v>
      </c>
      <c r="I144" s="7">
        <f t="shared" si="8"/>
        <v>3</v>
      </c>
      <c r="J144" s="2" t="s">
        <v>6</v>
      </c>
      <c r="K144" s="2" t="s">
        <v>7</v>
      </c>
      <c r="L144" s="2" t="s">
        <v>148</v>
      </c>
    </row>
    <row r="145" spans="1:12" ht="14.25" customHeight="1" x14ac:dyDescent="0.25">
      <c r="A145" s="2">
        <v>154</v>
      </c>
      <c r="B145" s="2" t="s">
        <v>440</v>
      </c>
      <c r="C145" s="2" t="s">
        <v>350</v>
      </c>
      <c r="D145" s="2"/>
      <c r="E145" s="2">
        <v>450000</v>
      </c>
      <c r="F145" s="2">
        <f t="shared" si="6"/>
        <v>450000</v>
      </c>
      <c r="G145" s="2" t="str">
        <f t="shared" si="7"/>
        <v/>
      </c>
      <c r="H145" s="4">
        <v>46118</v>
      </c>
      <c r="I145" s="7">
        <f t="shared" si="8"/>
        <v>4</v>
      </c>
      <c r="J145" s="2" t="s">
        <v>9</v>
      </c>
      <c r="K145" s="2" t="s">
        <v>7</v>
      </c>
      <c r="L145" s="2" t="s">
        <v>149</v>
      </c>
    </row>
    <row r="146" spans="1:12" ht="14.25" customHeight="1" x14ac:dyDescent="0.25">
      <c r="A146" s="2">
        <v>155</v>
      </c>
      <c r="B146" s="2" t="s">
        <v>439</v>
      </c>
      <c r="C146" s="2" t="s">
        <v>351</v>
      </c>
      <c r="D146" s="2"/>
      <c r="E146" s="2">
        <v>65000</v>
      </c>
      <c r="F146" s="2">
        <f t="shared" si="6"/>
        <v>-65000</v>
      </c>
      <c r="G146" s="2" t="str">
        <f t="shared" si="7"/>
        <v/>
      </c>
      <c r="H146" s="4">
        <v>46148</v>
      </c>
      <c r="I146" s="7">
        <f t="shared" si="8"/>
        <v>5</v>
      </c>
      <c r="J146" s="2" t="s">
        <v>9</v>
      </c>
      <c r="K146" s="2" t="s">
        <v>7</v>
      </c>
      <c r="L146" s="2" t="s">
        <v>150</v>
      </c>
    </row>
    <row r="147" spans="1:12" ht="14.25" customHeight="1" x14ac:dyDescent="0.25">
      <c r="A147" s="2">
        <v>156</v>
      </c>
      <c r="B147" s="2" t="s">
        <v>439</v>
      </c>
      <c r="C147" s="2" t="s">
        <v>352</v>
      </c>
      <c r="D147" s="2"/>
      <c r="E147" s="2">
        <v>100000</v>
      </c>
      <c r="F147" s="2">
        <f t="shared" si="6"/>
        <v>-100000</v>
      </c>
      <c r="G147" s="2" t="str">
        <f t="shared" si="7"/>
        <v/>
      </c>
      <c r="H147" s="4">
        <v>46179</v>
      </c>
      <c r="I147" s="7">
        <f t="shared" si="8"/>
        <v>6</v>
      </c>
      <c r="J147" s="2" t="s">
        <v>11</v>
      </c>
      <c r="K147" s="2" t="s">
        <v>7</v>
      </c>
      <c r="L147" s="2" t="s">
        <v>151</v>
      </c>
    </row>
    <row r="148" spans="1:12" ht="14.25" customHeight="1" x14ac:dyDescent="0.25">
      <c r="A148" s="2">
        <v>157</v>
      </c>
      <c r="B148" s="2" t="s">
        <v>439</v>
      </c>
      <c r="C148" s="2" t="s">
        <v>353</v>
      </c>
      <c r="D148" s="2"/>
      <c r="E148" s="2">
        <v>850000</v>
      </c>
      <c r="F148" s="2">
        <f t="shared" si="6"/>
        <v>-850000</v>
      </c>
      <c r="G148" s="2" t="str">
        <f t="shared" si="7"/>
        <v/>
      </c>
      <c r="H148" s="4">
        <v>46209</v>
      </c>
      <c r="I148" s="7">
        <f t="shared" si="8"/>
        <v>7</v>
      </c>
      <c r="J148" s="2" t="s">
        <v>6</v>
      </c>
      <c r="K148" s="2" t="s">
        <v>7</v>
      </c>
      <c r="L148" s="2" t="s">
        <v>152</v>
      </c>
    </row>
    <row r="149" spans="1:12" ht="14.25" customHeight="1" x14ac:dyDescent="0.25">
      <c r="A149" s="2">
        <v>158</v>
      </c>
      <c r="B149" s="2" t="s">
        <v>440</v>
      </c>
      <c r="C149" s="2" t="s">
        <v>354</v>
      </c>
      <c r="D149" s="2"/>
      <c r="E149" s="2">
        <v>12000000</v>
      </c>
      <c r="F149" s="2">
        <f t="shared" si="6"/>
        <v>12000000</v>
      </c>
      <c r="G149" s="2" t="str">
        <f t="shared" si="7"/>
        <v/>
      </c>
      <c r="H149" s="4">
        <v>46240</v>
      </c>
      <c r="I149" s="7">
        <f t="shared" si="8"/>
        <v>8</v>
      </c>
      <c r="J149" s="2" t="s">
        <v>13</v>
      </c>
      <c r="K149" s="2" t="s">
        <v>7</v>
      </c>
      <c r="L149" s="2" t="s">
        <v>153</v>
      </c>
    </row>
    <row r="150" spans="1:12" ht="14.25" customHeight="1" x14ac:dyDescent="0.25">
      <c r="A150" s="2">
        <v>159</v>
      </c>
      <c r="B150" s="2" t="s">
        <v>439</v>
      </c>
      <c r="C150" s="2" t="s">
        <v>257</v>
      </c>
      <c r="D150" s="2"/>
      <c r="E150" s="2">
        <v>200000</v>
      </c>
      <c r="F150" s="2">
        <f t="shared" si="6"/>
        <v>-200000</v>
      </c>
      <c r="G150" s="2" t="str">
        <f t="shared" si="7"/>
        <v/>
      </c>
      <c r="H150" s="4">
        <v>46271</v>
      </c>
      <c r="I150" s="7">
        <f t="shared" si="8"/>
        <v>9</v>
      </c>
      <c r="J150" s="2" t="s">
        <v>9</v>
      </c>
      <c r="K150" s="2" t="s">
        <v>7</v>
      </c>
      <c r="L150" s="2" t="s">
        <v>54</v>
      </c>
    </row>
    <row r="151" spans="1:12" ht="14.25" customHeight="1" x14ac:dyDescent="0.25">
      <c r="A151" s="2">
        <v>160</v>
      </c>
      <c r="B151" s="2" t="s">
        <v>439</v>
      </c>
      <c r="C151" s="2" t="s">
        <v>355</v>
      </c>
      <c r="D151" s="2"/>
      <c r="E151" s="2">
        <v>340000</v>
      </c>
      <c r="F151" s="2">
        <f t="shared" si="6"/>
        <v>-340000</v>
      </c>
      <c r="G151" s="2" t="str">
        <f t="shared" si="7"/>
        <v/>
      </c>
      <c r="H151" s="4">
        <v>46301</v>
      </c>
      <c r="I151" s="7">
        <f t="shared" si="8"/>
        <v>10</v>
      </c>
      <c r="J151" s="2" t="s">
        <v>6</v>
      </c>
      <c r="K151" s="2" t="s">
        <v>7</v>
      </c>
      <c r="L151" s="2" t="s">
        <v>154</v>
      </c>
    </row>
    <row r="152" spans="1:12" ht="14.25" customHeight="1" x14ac:dyDescent="0.25">
      <c r="A152" s="2">
        <v>161</v>
      </c>
      <c r="B152" s="2" t="s">
        <v>439</v>
      </c>
      <c r="C152" s="2" t="s">
        <v>356</v>
      </c>
      <c r="D152" s="2"/>
      <c r="E152" s="2">
        <v>19000000</v>
      </c>
      <c r="F152" s="2">
        <f t="shared" si="6"/>
        <v>-19000000</v>
      </c>
      <c r="G152" s="2" t="str">
        <f t="shared" si="7"/>
        <v>Chi tiêu lớn</v>
      </c>
      <c r="H152" s="4">
        <v>46332</v>
      </c>
      <c r="I152" s="7">
        <f t="shared" si="8"/>
        <v>11</v>
      </c>
      <c r="J152" s="2" t="s">
        <v>6</v>
      </c>
      <c r="K152" s="2" t="s">
        <v>7</v>
      </c>
      <c r="L152" s="2" t="s">
        <v>155</v>
      </c>
    </row>
    <row r="153" spans="1:12" ht="14.25" customHeight="1" x14ac:dyDescent="0.25">
      <c r="A153" s="2">
        <v>162</v>
      </c>
      <c r="B153" s="2" t="s">
        <v>440</v>
      </c>
      <c r="C153" s="2" t="s">
        <v>357</v>
      </c>
      <c r="D153" s="2"/>
      <c r="E153" s="2">
        <v>150000</v>
      </c>
      <c r="F153" s="2">
        <f t="shared" si="6"/>
        <v>150000</v>
      </c>
      <c r="G153" s="2" t="str">
        <f t="shared" si="7"/>
        <v/>
      </c>
      <c r="H153" s="4">
        <v>46362</v>
      </c>
      <c r="I153" s="7">
        <f t="shared" si="8"/>
        <v>12</v>
      </c>
      <c r="J153" s="2" t="s">
        <v>13</v>
      </c>
      <c r="K153" s="2" t="s">
        <v>7</v>
      </c>
      <c r="L153" s="2" t="s">
        <v>156</v>
      </c>
    </row>
    <row r="154" spans="1:12" ht="14.25" customHeight="1" x14ac:dyDescent="0.25">
      <c r="A154" s="2">
        <v>163</v>
      </c>
      <c r="B154" s="2" t="s">
        <v>439</v>
      </c>
      <c r="C154" s="2" t="s">
        <v>416</v>
      </c>
      <c r="D154" s="2" t="s">
        <v>431</v>
      </c>
      <c r="E154" s="2">
        <v>15000000</v>
      </c>
      <c r="F154" s="2">
        <f t="shared" si="6"/>
        <v>-15000000</v>
      </c>
      <c r="G154" s="2" t="str">
        <f t="shared" si="7"/>
        <v>Chi tiêu lớn</v>
      </c>
      <c r="H154" s="4">
        <v>46186</v>
      </c>
      <c r="I154" s="7">
        <f t="shared" si="8"/>
        <v>6</v>
      </c>
      <c r="J154" s="2" t="s">
        <v>6</v>
      </c>
      <c r="K154" s="2" t="s">
        <v>7</v>
      </c>
      <c r="L154" s="2" t="s">
        <v>157</v>
      </c>
    </row>
    <row r="155" spans="1:12" ht="14.25" customHeight="1" x14ac:dyDescent="0.25">
      <c r="A155" s="2">
        <v>164</v>
      </c>
      <c r="B155" s="2" t="s">
        <v>439</v>
      </c>
      <c r="C155" s="2" t="s">
        <v>358</v>
      </c>
      <c r="D155" s="2"/>
      <c r="E155" s="2">
        <v>550000</v>
      </c>
      <c r="F155" s="2">
        <f t="shared" si="6"/>
        <v>-550000</v>
      </c>
      <c r="G155" s="2" t="str">
        <f t="shared" si="7"/>
        <v/>
      </c>
      <c r="H155" s="4">
        <v>46187</v>
      </c>
      <c r="I155" s="7">
        <f t="shared" si="8"/>
        <v>6</v>
      </c>
      <c r="J155" s="2" t="s">
        <v>11</v>
      </c>
      <c r="K155" s="2" t="s">
        <v>7</v>
      </c>
      <c r="L155" s="2" t="s">
        <v>158</v>
      </c>
    </row>
    <row r="156" spans="1:12" ht="14.25" customHeight="1" x14ac:dyDescent="0.25">
      <c r="A156" s="2">
        <v>165</v>
      </c>
      <c r="B156" s="2" t="s">
        <v>439</v>
      </c>
      <c r="C156" s="2" t="s">
        <v>359</v>
      </c>
      <c r="D156" s="2"/>
      <c r="E156" s="2">
        <v>120000</v>
      </c>
      <c r="F156" s="2">
        <f t="shared" si="6"/>
        <v>-120000</v>
      </c>
      <c r="G156" s="2" t="str">
        <f t="shared" si="7"/>
        <v/>
      </c>
      <c r="H156" s="4">
        <v>46188</v>
      </c>
      <c r="I156" s="7">
        <f t="shared" si="8"/>
        <v>6</v>
      </c>
      <c r="J156" s="2" t="s">
        <v>9</v>
      </c>
      <c r="K156" s="2" t="s">
        <v>7</v>
      </c>
      <c r="L156" s="2" t="s">
        <v>159</v>
      </c>
    </row>
    <row r="157" spans="1:12" ht="14.25" customHeight="1" x14ac:dyDescent="0.25">
      <c r="A157" s="2">
        <v>166</v>
      </c>
      <c r="B157" s="2" t="s">
        <v>440</v>
      </c>
      <c r="C157" s="2" t="s">
        <v>230</v>
      </c>
      <c r="D157" s="2"/>
      <c r="E157" s="2">
        <v>15000000</v>
      </c>
      <c r="F157" s="2">
        <f t="shared" si="6"/>
        <v>15000000</v>
      </c>
      <c r="G157" s="2" t="str">
        <f t="shared" si="7"/>
        <v/>
      </c>
      <c r="H157" s="4">
        <v>46189</v>
      </c>
      <c r="I157" s="7">
        <f t="shared" si="8"/>
        <v>6</v>
      </c>
      <c r="J157" s="2" t="s">
        <v>13</v>
      </c>
      <c r="K157" s="2" t="s">
        <v>7</v>
      </c>
      <c r="L157" s="2" t="s">
        <v>160</v>
      </c>
    </row>
    <row r="158" spans="1:12" ht="14.25" customHeight="1" x14ac:dyDescent="0.25">
      <c r="A158" s="2">
        <v>167</v>
      </c>
      <c r="B158" s="2" t="s">
        <v>439</v>
      </c>
      <c r="C158" s="2" t="s">
        <v>360</v>
      </c>
      <c r="D158" s="2"/>
      <c r="E158" s="2">
        <v>28000000</v>
      </c>
      <c r="F158" s="2">
        <f t="shared" si="6"/>
        <v>-28000000</v>
      </c>
      <c r="G158" s="2" t="str">
        <f t="shared" si="7"/>
        <v>Chi tiêu lớn</v>
      </c>
      <c r="H158" s="4">
        <v>46190</v>
      </c>
      <c r="I158" s="7">
        <f t="shared" si="8"/>
        <v>6</v>
      </c>
      <c r="J158" s="2" t="s">
        <v>6</v>
      </c>
      <c r="K158" s="2" t="s">
        <v>7</v>
      </c>
      <c r="L158" s="2" t="s">
        <v>161</v>
      </c>
    </row>
    <row r="159" spans="1:12" ht="14.25" customHeight="1" x14ac:dyDescent="0.25">
      <c r="A159" s="2">
        <v>168</v>
      </c>
      <c r="B159" s="2" t="s">
        <v>439</v>
      </c>
      <c r="C159" s="2" t="s">
        <v>276</v>
      </c>
      <c r="D159" s="2"/>
      <c r="E159" s="2">
        <v>600000</v>
      </c>
      <c r="F159" s="2">
        <f t="shared" si="6"/>
        <v>-600000</v>
      </c>
      <c r="G159" s="2" t="str">
        <f t="shared" si="7"/>
        <v/>
      </c>
      <c r="H159" s="4">
        <v>46191</v>
      </c>
      <c r="I159" s="7">
        <f t="shared" si="8"/>
        <v>6</v>
      </c>
      <c r="J159" s="2" t="s">
        <v>11</v>
      </c>
      <c r="K159" s="2" t="s">
        <v>7</v>
      </c>
      <c r="L159" s="2" t="s">
        <v>162</v>
      </c>
    </row>
    <row r="160" spans="1:12" ht="14.25" customHeight="1" x14ac:dyDescent="0.25">
      <c r="A160" s="2">
        <v>169</v>
      </c>
      <c r="B160" s="2" t="s">
        <v>439</v>
      </c>
      <c r="C160" s="2" t="s">
        <v>361</v>
      </c>
      <c r="D160" s="2"/>
      <c r="E160" s="2">
        <v>720000</v>
      </c>
      <c r="F160" s="2">
        <f t="shared" si="6"/>
        <v>-720000</v>
      </c>
      <c r="G160" s="2" t="str">
        <f t="shared" si="7"/>
        <v/>
      </c>
      <c r="H160" s="4">
        <v>46192</v>
      </c>
      <c r="I160" s="7">
        <f t="shared" si="8"/>
        <v>6</v>
      </c>
      <c r="J160" s="2" t="s">
        <v>9</v>
      </c>
      <c r="K160" s="2" t="s">
        <v>7</v>
      </c>
      <c r="L160" s="2" t="s">
        <v>163</v>
      </c>
    </row>
    <row r="161" spans="1:12" ht="14.25" customHeight="1" x14ac:dyDescent="0.25">
      <c r="A161" s="2">
        <v>170</v>
      </c>
      <c r="B161" s="2" t="s">
        <v>440</v>
      </c>
      <c r="C161" s="2" t="s">
        <v>255</v>
      </c>
      <c r="D161" s="2"/>
      <c r="E161" s="2">
        <v>5000000</v>
      </c>
      <c r="F161" s="2">
        <f t="shared" si="6"/>
        <v>5000000</v>
      </c>
      <c r="G161" s="2" t="str">
        <f t="shared" si="7"/>
        <v/>
      </c>
      <c r="H161" s="4">
        <v>46193</v>
      </c>
      <c r="I161" s="7">
        <f t="shared" si="8"/>
        <v>6</v>
      </c>
      <c r="J161" s="2" t="s">
        <v>6</v>
      </c>
      <c r="K161" s="2" t="s">
        <v>7</v>
      </c>
      <c r="L161" s="2" t="s">
        <v>164</v>
      </c>
    </row>
    <row r="162" spans="1:12" ht="14.25" customHeight="1" x14ac:dyDescent="0.25">
      <c r="A162" s="2">
        <v>171</v>
      </c>
      <c r="B162" s="2" t="s">
        <v>439</v>
      </c>
      <c r="C162" s="2" t="s">
        <v>273</v>
      </c>
      <c r="D162" s="2"/>
      <c r="E162" s="2">
        <v>250000</v>
      </c>
      <c r="F162" s="2">
        <f t="shared" si="6"/>
        <v>-250000</v>
      </c>
      <c r="G162" s="2" t="str">
        <f t="shared" si="7"/>
        <v/>
      </c>
      <c r="H162" s="4">
        <v>46194</v>
      </c>
      <c r="I162" s="7">
        <f t="shared" si="8"/>
        <v>6</v>
      </c>
      <c r="J162" s="2" t="s">
        <v>9</v>
      </c>
      <c r="K162" s="2" t="s">
        <v>7</v>
      </c>
      <c r="L162" s="2" t="s">
        <v>165</v>
      </c>
    </row>
    <row r="163" spans="1:12" ht="14.25" customHeight="1" x14ac:dyDescent="0.25">
      <c r="A163" s="2">
        <v>172</v>
      </c>
      <c r="B163" s="2" t="s">
        <v>439</v>
      </c>
      <c r="C163" s="2" t="s">
        <v>362</v>
      </c>
      <c r="D163" s="2"/>
      <c r="E163" s="2">
        <v>65000</v>
      </c>
      <c r="F163" s="2">
        <f t="shared" si="6"/>
        <v>-65000</v>
      </c>
      <c r="G163" s="2" t="str">
        <f t="shared" si="7"/>
        <v/>
      </c>
      <c r="H163" s="4">
        <v>46195</v>
      </c>
      <c r="I163" s="7">
        <f t="shared" si="8"/>
        <v>6</v>
      </c>
      <c r="J163" s="2" t="s">
        <v>11</v>
      </c>
      <c r="K163" s="2" t="s">
        <v>7</v>
      </c>
      <c r="L163" s="2" t="s">
        <v>166</v>
      </c>
    </row>
    <row r="164" spans="1:12" ht="14.25" customHeight="1" x14ac:dyDescent="0.25">
      <c r="A164" s="2">
        <v>173</v>
      </c>
      <c r="B164" s="2" t="s">
        <v>439</v>
      </c>
      <c r="C164" s="2" t="s">
        <v>363</v>
      </c>
      <c r="D164" s="2"/>
      <c r="E164" s="2">
        <v>35000000</v>
      </c>
      <c r="F164" s="2">
        <f t="shared" si="6"/>
        <v>-35000000</v>
      </c>
      <c r="G164" s="2" t="str">
        <f t="shared" si="7"/>
        <v>Chi tiêu lớn</v>
      </c>
      <c r="H164" s="4">
        <v>46196</v>
      </c>
      <c r="I164" s="7">
        <f t="shared" si="8"/>
        <v>6</v>
      </c>
      <c r="J164" s="2" t="s">
        <v>6</v>
      </c>
      <c r="K164" s="2" t="s">
        <v>7</v>
      </c>
      <c r="L164" s="2" t="s">
        <v>167</v>
      </c>
    </row>
    <row r="165" spans="1:12" ht="14.25" customHeight="1" x14ac:dyDescent="0.25">
      <c r="A165" s="2">
        <v>174</v>
      </c>
      <c r="B165" s="2" t="s">
        <v>440</v>
      </c>
      <c r="C165" s="2" t="s">
        <v>259</v>
      </c>
      <c r="D165" s="2"/>
      <c r="E165" s="2">
        <v>102000000</v>
      </c>
      <c r="F165" s="2">
        <f t="shared" si="6"/>
        <v>102000000</v>
      </c>
      <c r="G165" s="2" t="str">
        <f t="shared" si="7"/>
        <v/>
      </c>
      <c r="H165" s="4">
        <v>46197</v>
      </c>
      <c r="I165" s="7">
        <f t="shared" si="8"/>
        <v>6</v>
      </c>
      <c r="J165" s="2" t="s">
        <v>13</v>
      </c>
      <c r="K165" s="2" t="s">
        <v>7</v>
      </c>
      <c r="L165" s="2" t="s">
        <v>168</v>
      </c>
    </row>
    <row r="166" spans="1:12" ht="14.25" customHeight="1" x14ac:dyDescent="0.25">
      <c r="A166" s="2">
        <v>175</v>
      </c>
      <c r="B166" s="2" t="s">
        <v>439</v>
      </c>
      <c r="C166" s="2" t="s">
        <v>364</v>
      </c>
      <c r="D166" s="2"/>
      <c r="E166" s="2">
        <v>12000000</v>
      </c>
      <c r="F166" s="2">
        <f t="shared" si="6"/>
        <v>-12000000</v>
      </c>
      <c r="G166" s="2" t="str">
        <f t="shared" si="7"/>
        <v>Chi tiêu lớn</v>
      </c>
      <c r="H166" s="4">
        <v>46198</v>
      </c>
      <c r="I166" s="7">
        <f t="shared" si="8"/>
        <v>6</v>
      </c>
      <c r="J166" s="2" t="s">
        <v>6</v>
      </c>
      <c r="K166" s="2" t="s">
        <v>7</v>
      </c>
      <c r="L166" s="2" t="s">
        <v>169</v>
      </c>
    </row>
    <row r="167" spans="1:12" ht="14.25" customHeight="1" x14ac:dyDescent="0.25">
      <c r="A167" s="2">
        <v>176</v>
      </c>
      <c r="B167" s="2" t="s">
        <v>439</v>
      </c>
      <c r="C167" s="2" t="s">
        <v>365</v>
      </c>
      <c r="D167" s="2"/>
      <c r="E167" s="2">
        <v>145000</v>
      </c>
      <c r="F167" s="2">
        <f t="shared" si="6"/>
        <v>-145000</v>
      </c>
      <c r="G167" s="2" t="str">
        <f t="shared" si="7"/>
        <v/>
      </c>
      <c r="H167" s="4">
        <v>46199</v>
      </c>
      <c r="I167" s="7">
        <f t="shared" si="8"/>
        <v>6</v>
      </c>
      <c r="J167" s="2" t="s">
        <v>9</v>
      </c>
      <c r="K167" s="2" t="s">
        <v>7</v>
      </c>
      <c r="L167" s="2" t="s">
        <v>170</v>
      </c>
    </row>
    <row r="168" spans="1:12" ht="14.25" customHeight="1" x14ac:dyDescent="0.25">
      <c r="A168" s="2">
        <v>177</v>
      </c>
      <c r="B168" s="2" t="s">
        <v>439</v>
      </c>
      <c r="C168" s="2" t="s">
        <v>366</v>
      </c>
      <c r="D168" s="2"/>
      <c r="E168" s="2">
        <v>1000000</v>
      </c>
      <c r="F168" s="2">
        <f t="shared" si="6"/>
        <v>-1000000</v>
      </c>
      <c r="G168" s="2" t="str">
        <f t="shared" si="7"/>
        <v/>
      </c>
      <c r="H168" s="4">
        <v>46200</v>
      </c>
      <c r="I168" s="7">
        <f t="shared" si="8"/>
        <v>6</v>
      </c>
      <c r="J168" s="2" t="s">
        <v>11</v>
      </c>
      <c r="K168" s="2" t="s">
        <v>7</v>
      </c>
      <c r="L168" s="2" t="s">
        <v>171</v>
      </c>
    </row>
    <row r="169" spans="1:12" ht="14.25" customHeight="1" x14ac:dyDescent="0.25">
      <c r="A169" s="2">
        <v>178</v>
      </c>
      <c r="B169" s="2" t="s">
        <v>440</v>
      </c>
      <c r="C169" s="2" t="s">
        <v>282</v>
      </c>
      <c r="D169" s="2"/>
      <c r="E169" s="2">
        <v>25000000</v>
      </c>
      <c r="F169" s="2">
        <f t="shared" si="6"/>
        <v>25000000</v>
      </c>
      <c r="G169" s="2" t="str">
        <f t="shared" si="7"/>
        <v/>
      </c>
      <c r="H169" s="4">
        <v>46201</v>
      </c>
      <c r="I169" s="7">
        <f t="shared" si="8"/>
        <v>6</v>
      </c>
      <c r="J169" s="2" t="s">
        <v>9</v>
      </c>
      <c r="K169" s="2" t="s">
        <v>7</v>
      </c>
      <c r="L169" s="2" t="s">
        <v>172</v>
      </c>
    </row>
    <row r="170" spans="1:12" ht="14.25" customHeight="1" x14ac:dyDescent="0.25">
      <c r="A170" s="2">
        <v>179</v>
      </c>
      <c r="B170" s="2" t="s">
        <v>439</v>
      </c>
      <c r="C170" s="2" t="s">
        <v>367</v>
      </c>
      <c r="D170" s="2"/>
      <c r="E170" s="2">
        <v>42000000</v>
      </c>
      <c r="F170" s="2">
        <f t="shared" si="6"/>
        <v>-42000000</v>
      </c>
      <c r="G170" s="2" t="str">
        <f t="shared" si="7"/>
        <v>Chi tiêu lớn</v>
      </c>
      <c r="H170" s="4">
        <v>46202</v>
      </c>
      <c r="I170" s="7">
        <f t="shared" si="8"/>
        <v>6</v>
      </c>
      <c r="J170" s="2" t="s">
        <v>6</v>
      </c>
      <c r="K170" s="2" t="s">
        <v>7</v>
      </c>
      <c r="L170" s="2" t="s">
        <v>173</v>
      </c>
    </row>
    <row r="171" spans="1:12" ht="14.25" customHeight="1" x14ac:dyDescent="0.25">
      <c r="A171" s="2">
        <v>180</v>
      </c>
      <c r="B171" s="2" t="s">
        <v>440</v>
      </c>
      <c r="C171" s="2" t="s">
        <v>347</v>
      </c>
      <c r="D171" s="2"/>
      <c r="E171" s="2">
        <v>25000000</v>
      </c>
      <c r="F171" s="2">
        <f t="shared" si="6"/>
        <v>25000000</v>
      </c>
      <c r="G171" s="2" t="str">
        <f t="shared" si="7"/>
        <v/>
      </c>
      <c r="H171" s="4">
        <v>46203</v>
      </c>
      <c r="I171" s="7">
        <f t="shared" si="8"/>
        <v>6</v>
      </c>
      <c r="J171" s="2" t="s">
        <v>13</v>
      </c>
      <c r="K171" s="2" t="s">
        <v>7</v>
      </c>
      <c r="L171" s="2" t="s">
        <v>146</v>
      </c>
    </row>
    <row r="172" spans="1:12" ht="14.25" customHeight="1" x14ac:dyDescent="0.25">
      <c r="A172" s="2">
        <v>182</v>
      </c>
      <c r="B172" s="2" t="s">
        <v>439</v>
      </c>
      <c r="C172" s="2" t="s">
        <v>368</v>
      </c>
      <c r="D172" s="2"/>
      <c r="E172" s="2">
        <v>25000000</v>
      </c>
      <c r="F172" s="2">
        <f t="shared" si="6"/>
        <v>-25000000</v>
      </c>
      <c r="G172" s="2" t="str">
        <f t="shared" si="7"/>
        <v>Chi tiêu lớn</v>
      </c>
      <c r="H172" s="4">
        <v>46060</v>
      </c>
      <c r="I172" s="7">
        <f t="shared" si="8"/>
        <v>2</v>
      </c>
      <c r="J172" s="2" t="s">
        <v>11</v>
      </c>
      <c r="K172" s="2" t="s">
        <v>7</v>
      </c>
      <c r="L172" s="2" t="s">
        <v>174</v>
      </c>
    </row>
    <row r="173" spans="1:12" ht="14.25" customHeight="1" x14ac:dyDescent="0.25">
      <c r="A173" s="2">
        <v>183</v>
      </c>
      <c r="B173" s="2" t="s">
        <v>440</v>
      </c>
      <c r="C173" s="2" t="s">
        <v>369</v>
      </c>
      <c r="D173" s="2"/>
      <c r="E173" s="2">
        <v>500000</v>
      </c>
      <c r="F173" s="2">
        <f t="shared" si="6"/>
        <v>500000</v>
      </c>
      <c r="G173" s="2" t="str">
        <f t="shared" si="7"/>
        <v/>
      </c>
      <c r="H173" s="4">
        <v>46088</v>
      </c>
      <c r="I173" s="7">
        <f t="shared" si="8"/>
        <v>3</v>
      </c>
      <c r="J173" s="2" t="s">
        <v>9</v>
      </c>
      <c r="K173" s="2" t="s">
        <v>7</v>
      </c>
      <c r="L173" s="2" t="s">
        <v>175</v>
      </c>
    </row>
    <row r="174" spans="1:12" ht="14.25" customHeight="1" x14ac:dyDescent="0.25">
      <c r="A174" s="2">
        <v>184</v>
      </c>
      <c r="B174" s="2" t="s">
        <v>439</v>
      </c>
      <c r="C174" s="2" t="s">
        <v>370</v>
      </c>
      <c r="D174" s="2"/>
      <c r="E174" s="2">
        <v>21000000</v>
      </c>
      <c r="F174" s="2">
        <f t="shared" si="6"/>
        <v>-21000000</v>
      </c>
      <c r="G174" s="2" t="str">
        <f t="shared" si="7"/>
        <v>Chi tiêu lớn</v>
      </c>
      <c r="H174" s="4">
        <v>46119</v>
      </c>
      <c r="I174" s="7">
        <f t="shared" si="8"/>
        <v>4</v>
      </c>
      <c r="J174" s="2" t="s">
        <v>6</v>
      </c>
      <c r="K174" s="2" t="s">
        <v>7</v>
      </c>
      <c r="L174" s="2" t="s">
        <v>176</v>
      </c>
    </row>
    <row r="175" spans="1:12" ht="14.25" customHeight="1" x14ac:dyDescent="0.25">
      <c r="A175" s="2">
        <v>185</v>
      </c>
      <c r="B175" s="2" t="s">
        <v>439</v>
      </c>
      <c r="C175" s="2" t="s">
        <v>371</v>
      </c>
      <c r="D175" s="2"/>
      <c r="E175" s="2">
        <v>55000</v>
      </c>
      <c r="F175" s="2">
        <f t="shared" si="6"/>
        <v>-55000</v>
      </c>
      <c r="G175" s="2" t="str">
        <f t="shared" si="7"/>
        <v/>
      </c>
      <c r="H175" s="4">
        <v>46149</v>
      </c>
      <c r="I175" s="7">
        <f t="shared" si="8"/>
        <v>5</v>
      </c>
      <c r="J175" s="2" t="s">
        <v>11</v>
      </c>
      <c r="K175" s="2" t="s">
        <v>7</v>
      </c>
      <c r="L175" s="2" t="s">
        <v>177</v>
      </c>
    </row>
    <row r="176" spans="1:12" ht="14.25" customHeight="1" x14ac:dyDescent="0.25">
      <c r="A176" s="2">
        <v>186</v>
      </c>
      <c r="B176" s="2" t="s">
        <v>440</v>
      </c>
      <c r="C176" s="2" t="s">
        <v>372</v>
      </c>
      <c r="D176" s="2"/>
      <c r="E176" s="2">
        <v>120000</v>
      </c>
      <c r="F176" s="2">
        <f t="shared" si="6"/>
        <v>120000</v>
      </c>
      <c r="G176" s="2" t="str">
        <f t="shared" si="7"/>
        <v/>
      </c>
      <c r="H176" s="4">
        <v>46180</v>
      </c>
      <c r="I176" s="7">
        <f t="shared" si="8"/>
        <v>6</v>
      </c>
      <c r="J176" s="2" t="s">
        <v>9</v>
      </c>
      <c r="K176" s="2" t="s">
        <v>7</v>
      </c>
      <c r="L176" s="2" t="s">
        <v>128</v>
      </c>
    </row>
    <row r="177" spans="1:12" ht="14.25" customHeight="1" x14ac:dyDescent="0.25">
      <c r="A177" s="2">
        <v>187</v>
      </c>
      <c r="B177" s="2" t="s">
        <v>439</v>
      </c>
      <c r="C177" s="2" t="s">
        <v>373</v>
      </c>
      <c r="D177" s="2"/>
      <c r="E177" s="2">
        <v>285000</v>
      </c>
      <c r="F177" s="2">
        <f t="shared" si="6"/>
        <v>-285000</v>
      </c>
      <c r="G177" s="2" t="str">
        <f t="shared" si="7"/>
        <v/>
      </c>
      <c r="H177" s="4">
        <v>46210</v>
      </c>
      <c r="I177" s="7">
        <f t="shared" si="8"/>
        <v>7</v>
      </c>
      <c r="J177" s="2" t="s">
        <v>9</v>
      </c>
      <c r="K177" s="2" t="s">
        <v>7</v>
      </c>
      <c r="L177" s="2" t="s">
        <v>178</v>
      </c>
    </row>
    <row r="178" spans="1:12" ht="14.25" customHeight="1" x14ac:dyDescent="0.25">
      <c r="A178" s="2">
        <v>188</v>
      </c>
      <c r="B178" s="2" t="s">
        <v>439</v>
      </c>
      <c r="C178" s="2" t="s">
        <v>270</v>
      </c>
      <c r="D178" s="2"/>
      <c r="E178" s="2">
        <v>180000</v>
      </c>
      <c r="F178" s="2">
        <f t="shared" si="6"/>
        <v>-180000</v>
      </c>
      <c r="G178" s="2" t="str">
        <f t="shared" si="7"/>
        <v/>
      </c>
      <c r="H178" s="4">
        <v>46241</v>
      </c>
      <c r="I178" s="7">
        <f t="shared" si="8"/>
        <v>8</v>
      </c>
      <c r="J178" s="2" t="s">
        <v>11</v>
      </c>
      <c r="K178" s="2" t="s">
        <v>7</v>
      </c>
      <c r="L178" s="2" t="s">
        <v>179</v>
      </c>
    </row>
    <row r="179" spans="1:12" ht="14.25" customHeight="1" x14ac:dyDescent="0.25">
      <c r="A179" s="2">
        <v>189</v>
      </c>
      <c r="B179" s="2" t="s">
        <v>440</v>
      </c>
      <c r="C179" s="2" t="s">
        <v>374</v>
      </c>
      <c r="D179" s="2"/>
      <c r="E179" s="2">
        <v>35000000</v>
      </c>
      <c r="F179" s="2">
        <f t="shared" si="6"/>
        <v>35000000</v>
      </c>
      <c r="G179" s="2" t="str">
        <f t="shared" si="7"/>
        <v/>
      </c>
      <c r="H179" s="4">
        <v>46272</v>
      </c>
      <c r="I179" s="7">
        <f t="shared" si="8"/>
        <v>9</v>
      </c>
      <c r="J179" s="2" t="s">
        <v>13</v>
      </c>
      <c r="K179" s="2" t="s">
        <v>7</v>
      </c>
      <c r="L179" s="2" t="s">
        <v>180</v>
      </c>
    </row>
    <row r="180" spans="1:12" ht="14.25" customHeight="1" x14ac:dyDescent="0.25">
      <c r="A180" s="2">
        <v>190</v>
      </c>
      <c r="B180" s="2" t="s">
        <v>439</v>
      </c>
      <c r="C180" s="2" t="s">
        <v>375</v>
      </c>
      <c r="D180" s="2"/>
      <c r="E180" s="2">
        <v>14000000</v>
      </c>
      <c r="F180" s="2">
        <f t="shared" si="6"/>
        <v>-14000000</v>
      </c>
      <c r="G180" s="2" t="str">
        <f t="shared" si="7"/>
        <v>Chi tiêu lớn</v>
      </c>
      <c r="H180" s="4">
        <v>46302</v>
      </c>
      <c r="I180" s="7">
        <f t="shared" si="8"/>
        <v>10</v>
      </c>
      <c r="J180" s="2" t="s">
        <v>6</v>
      </c>
      <c r="K180" s="2" t="s">
        <v>7</v>
      </c>
      <c r="L180" s="2" t="s">
        <v>181</v>
      </c>
    </row>
    <row r="181" spans="1:12" ht="14.25" customHeight="1" x14ac:dyDescent="0.25">
      <c r="A181" s="2">
        <v>191</v>
      </c>
      <c r="B181" s="2" t="s">
        <v>439</v>
      </c>
      <c r="C181" s="2" t="s">
        <v>232</v>
      </c>
      <c r="D181" s="2"/>
      <c r="E181" s="2">
        <v>600000</v>
      </c>
      <c r="F181" s="2">
        <f t="shared" si="6"/>
        <v>-600000</v>
      </c>
      <c r="G181" s="2" t="str">
        <f t="shared" si="7"/>
        <v/>
      </c>
      <c r="H181" s="4">
        <v>46333</v>
      </c>
      <c r="I181" s="7">
        <f t="shared" si="8"/>
        <v>11</v>
      </c>
      <c r="J181" s="2" t="s">
        <v>11</v>
      </c>
      <c r="K181" s="2" t="s">
        <v>7</v>
      </c>
      <c r="L181" s="2" t="s">
        <v>182</v>
      </c>
    </row>
    <row r="182" spans="1:12" ht="14.25" customHeight="1" x14ac:dyDescent="0.25">
      <c r="A182" s="2">
        <v>192</v>
      </c>
      <c r="B182" s="2" t="s">
        <v>440</v>
      </c>
      <c r="C182" s="2" t="s">
        <v>376</v>
      </c>
      <c r="D182" s="2"/>
      <c r="E182" s="2">
        <v>8000000</v>
      </c>
      <c r="F182" s="2">
        <f t="shared" si="6"/>
        <v>8000000</v>
      </c>
      <c r="G182" s="2" t="str">
        <f t="shared" si="7"/>
        <v/>
      </c>
      <c r="H182" s="4">
        <v>46363</v>
      </c>
      <c r="I182" s="7">
        <f t="shared" si="8"/>
        <v>12</v>
      </c>
      <c r="J182" s="2" t="s">
        <v>13</v>
      </c>
      <c r="K182" s="2" t="s">
        <v>7</v>
      </c>
      <c r="L182" s="2" t="s">
        <v>183</v>
      </c>
    </row>
    <row r="183" spans="1:12" ht="14.25" customHeight="1" x14ac:dyDescent="0.25">
      <c r="A183" s="2">
        <v>193</v>
      </c>
      <c r="B183" s="2" t="s">
        <v>439</v>
      </c>
      <c r="C183" s="2" t="s">
        <v>229</v>
      </c>
      <c r="D183" s="2"/>
      <c r="E183" s="2">
        <v>12000000</v>
      </c>
      <c r="F183" s="2">
        <f t="shared" si="6"/>
        <v>-12000000</v>
      </c>
      <c r="G183" s="2" t="str">
        <f t="shared" si="7"/>
        <v>Chi tiêu lớn</v>
      </c>
      <c r="H183" s="4">
        <v>46216</v>
      </c>
      <c r="I183" s="7">
        <f t="shared" si="8"/>
        <v>7</v>
      </c>
      <c r="J183" s="2" t="s">
        <v>6</v>
      </c>
      <c r="K183" s="2" t="s">
        <v>7</v>
      </c>
      <c r="L183" s="2" t="s">
        <v>184</v>
      </c>
    </row>
    <row r="184" spans="1:12" ht="14.25" customHeight="1" x14ac:dyDescent="0.25">
      <c r="A184" s="2">
        <v>194</v>
      </c>
      <c r="B184" s="2" t="s">
        <v>439</v>
      </c>
      <c r="C184" s="2" t="s">
        <v>285</v>
      </c>
      <c r="D184" s="2"/>
      <c r="E184" s="2">
        <v>55000</v>
      </c>
      <c r="F184" s="2">
        <f t="shared" si="6"/>
        <v>-55000</v>
      </c>
      <c r="G184" s="2" t="str">
        <f t="shared" si="7"/>
        <v/>
      </c>
      <c r="H184" s="4">
        <v>46217</v>
      </c>
      <c r="I184" s="7">
        <f t="shared" si="8"/>
        <v>7</v>
      </c>
      <c r="J184" s="2" t="s">
        <v>9</v>
      </c>
      <c r="K184" s="2" t="s">
        <v>7</v>
      </c>
      <c r="L184" s="2" t="s">
        <v>185</v>
      </c>
    </row>
    <row r="185" spans="1:12" ht="14.25" customHeight="1" x14ac:dyDescent="0.25">
      <c r="A185" s="2">
        <v>195</v>
      </c>
      <c r="B185" s="2" t="s">
        <v>439</v>
      </c>
      <c r="C185" s="2" t="s">
        <v>299</v>
      </c>
      <c r="D185" s="2"/>
      <c r="E185" s="2">
        <v>450000</v>
      </c>
      <c r="F185" s="2">
        <f t="shared" si="6"/>
        <v>-450000</v>
      </c>
      <c r="G185" s="2" t="str">
        <f t="shared" si="7"/>
        <v/>
      </c>
      <c r="H185" s="4">
        <v>46218</v>
      </c>
      <c r="I185" s="7">
        <f t="shared" si="8"/>
        <v>7</v>
      </c>
      <c r="J185" s="2" t="s">
        <v>11</v>
      </c>
      <c r="K185" s="2" t="s">
        <v>7</v>
      </c>
      <c r="L185" s="2" t="s">
        <v>99</v>
      </c>
    </row>
    <row r="186" spans="1:12" ht="14.25" customHeight="1" x14ac:dyDescent="0.25">
      <c r="A186" s="2">
        <v>196</v>
      </c>
      <c r="B186" s="2" t="s">
        <v>440</v>
      </c>
      <c r="C186" s="2" t="s">
        <v>377</v>
      </c>
      <c r="D186" s="2"/>
      <c r="E186" s="2">
        <v>2000000</v>
      </c>
      <c r="F186" s="2">
        <f t="shared" si="6"/>
        <v>2000000</v>
      </c>
      <c r="G186" s="2" t="str">
        <f t="shared" si="7"/>
        <v/>
      </c>
      <c r="H186" s="4">
        <v>46219</v>
      </c>
      <c r="I186" s="7">
        <f t="shared" si="8"/>
        <v>7</v>
      </c>
      <c r="J186" s="2" t="s">
        <v>9</v>
      </c>
      <c r="K186" s="2" t="s">
        <v>7</v>
      </c>
      <c r="L186" s="2" t="s">
        <v>186</v>
      </c>
    </row>
    <row r="187" spans="1:12" ht="14.25" customHeight="1" x14ac:dyDescent="0.25">
      <c r="A187" s="2">
        <v>197</v>
      </c>
      <c r="B187" s="2" t="s">
        <v>439</v>
      </c>
      <c r="C187" s="2" t="s">
        <v>378</v>
      </c>
      <c r="D187" s="2"/>
      <c r="E187" s="2">
        <v>800000</v>
      </c>
      <c r="F187" s="2">
        <f t="shared" si="6"/>
        <v>-800000</v>
      </c>
      <c r="G187" s="2" t="str">
        <f t="shared" si="7"/>
        <v/>
      </c>
      <c r="H187" s="4">
        <v>46220</v>
      </c>
      <c r="I187" s="7">
        <f t="shared" si="8"/>
        <v>7</v>
      </c>
      <c r="J187" s="2" t="s">
        <v>6</v>
      </c>
      <c r="K187" s="2" t="s">
        <v>7</v>
      </c>
      <c r="L187" s="2" t="s">
        <v>187</v>
      </c>
    </row>
    <row r="188" spans="1:12" ht="14.25" customHeight="1" x14ac:dyDescent="0.25">
      <c r="A188" s="2">
        <v>198</v>
      </c>
      <c r="B188" s="2" t="s">
        <v>439</v>
      </c>
      <c r="C188" s="2" t="s">
        <v>345</v>
      </c>
      <c r="D188" s="2"/>
      <c r="E188" s="2">
        <v>50000</v>
      </c>
      <c r="F188" s="2">
        <f t="shared" si="6"/>
        <v>-50000</v>
      </c>
      <c r="G188" s="2" t="str">
        <f t="shared" si="7"/>
        <v/>
      </c>
      <c r="H188" s="4">
        <v>46221</v>
      </c>
      <c r="I188" s="7">
        <f t="shared" si="8"/>
        <v>7</v>
      </c>
      <c r="J188" s="2" t="s">
        <v>11</v>
      </c>
      <c r="K188" s="2" t="s">
        <v>7</v>
      </c>
      <c r="L188" s="2" t="s">
        <v>188</v>
      </c>
    </row>
    <row r="189" spans="1:12" ht="14.25" customHeight="1" x14ac:dyDescent="0.25">
      <c r="A189" s="2">
        <v>199</v>
      </c>
      <c r="B189" s="2" t="s">
        <v>440</v>
      </c>
      <c r="C189" s="2" t="s">
        <v>379</v>
      </c>
      <c r="D189" s="2"/>
      <c r="E189" s="2">
        <v>18000000</v>
      </c>
      <c r="F189" s="2">
        <f t="shared" si="6"/>
        <v>18000000</v>
      </c>
      <c r="G189" s="2" t="str">
        <f t="shared" si="7"/>
        <v/>
      </c>
      <c r="H189" s="4">
        <v>46222</v>
      </c>
      <c r="I189" s="7">
        <f t="shared" si="8"/>
        <v>7</v>
      </c>
      <c r="J189" s="2" t="s">
        <v>11</v>
      </c>
      <c r="K189" s="2" t="s">
        <v>7</v>
      </c>
      <c r="L189" s="2" t="s">
        <v>189</v>
      </c>
    </row>
    <row r="190" spans="1:12" ht="14.25" customHeight="1" x14ac:dyDescent="0.25">
      <c r="A190" s="2">
        <v>201</v>
      </c>
      <c r="B190" s="2" t="s">
        <v>439</v>
      </c>
      <c r="C190" s="2" t="s">
        <v>380</v>
      </c>
      <c r="D190" s="2"/>
      <c r="E190" s="2">
        <v>55000000</v>
      </c>
      <c r="F190" s="2">
        <f t="shared" si="6"/>
        <v>-55000000</v>
      </c>
      <c r="G190" s="2" t="str">
        <f t="shared" si="7"/>
        <v>Chi tiêu lớn</v>
      </c>
      <c r="H190" s="4">
        <v>46224</v>
      </c>
      <c r="I190" s="7">
        <f t="shared" si="8"/>
        <v>7</v>
      </c>
      <c r="J190" s="2" t="s">
        <v>6</v>
      </c>
      <c r="K190" s="2" t="s">
        <v>7</v>
      </c>
      <c r="L190" s="2" t="s">
        <v>190</v>
      </c>
    </row>
    <row r="191" spans="1:12" ht="14.25" customHeight="1" x14ac:dyDescent="0.25">
      <c r="A191" s="2">
        <v>202</v>
      </c>
      <c r="B191" s="2" t="s">
        <v>440</v>
      </c>
      <c r="C191" s="2" t="s">
        <v>381</v>
      </c>
      <c r="D191" s="2"/>
      <c r="E191" s="2">
        <v>3000000</v>
      </c>
      <c r="F191" s="2">
        <f t="shared" si="6"/>
        <v>3000000</v>
      </c>
      <c r="G191" s="2" t="str">
        <f t="shared" si="7"/>
        <v/>
      </c>
      <c r="H191" s="4">
        <v>46225</v>
      </c>
      <c r="I191" s="7">
        <f t="shared" si="8"/>
        <v>7</v>
      </c>
      <c r="J191" s="2" t="s">
        <v>13</v>
      </c>
      <c r="K191" s="2" t="s">
        <v>7</v>
      </c>
      <c r="L191" s="2" t="s">
        <v>191</v>
      </c>
    </row>
    <row r="192" spans="1:12" ht="14.25" customHeight="1" x14ac:dyDescent="0.25">
      <c r="A192" s="2">
        <v>203</v>
      </c>
      <c r="B192" s="2" t="s">
        <v>439</v>
      </c>
      <c r="C192" s="2" t="s">
        <v>351</v>
      </c>
      <c r="D192" s="2"/>
      <c r="E192" s="2">
        <v>55000</v>
      </c>
      <c r="F192" s="2">
        <f t="shared" si="6"/>
        <v>-55000</v>
      </c>
      <c r="G192" s="2" t="str">
        <f t="shared" si="7"/>
        <v/>
      </c>
      <c r="H192" s="4">
        <v>46226</v>
      </c>
      <c r="I192" s="7">
        <f t="shared" si="8"/>
        <v>7</v>
      </c>
      <c r="J192" s="2" t="s">
        <v>9</v>
      </c>
      <c r="K192" s="2" t="s">
        <v>7</v>
      </c>
      <c r="L192" s="2" t="s">
        <v>192</v>
      </c>
    </row>
    <row r="193" spans="1:12" ht="14.25" customHeight="1" x14ac:dyDescent="0.25">
      <c r="A193" s="2">
        <v>204</v>
      </c>
      <c r="B193" s="2" t="s">
        <v>439</v>
      </c>
      <c r="C193" s="2" t="s">
        <v>227</v>
      </c>
      <c r="D193" s="2"/>
      <c r="E193" s="2">
        <v>80000</v>
      </c>
      <c r="F193" s="2">
        <f t="shared" si="6"/>
        <v>-80000</v>
      </c>
      <c r="G193" s="2" t="str">
        <f t="shared" si="7"/>
        <v/>
      </c>
      <c r="H193" s="4">
        <v>46227</v>
      </c>
      <c r="I193" s="7">
        <f t="shared" si="8"/>
        <v>7</v>
      </c>
      <c r="J193" s="2" t="s">
        <v>11</v>
      </c>
      <c r="K193" s="2" t="s">
        <v>7</v>
      </c>
      <c r="L193" s="2" t="s">
        <v>16</v>
      </c>
    </row>
    <row r="194" spans="1:12" ht="14.25" customHeight="1" x14ac:dyDescent="0.25">
      <c r="A194" s="2">
        <v>205</v>
      </c>
      <c r="B194" s="2" t="s">
        <v>440</v>
      </c>
      <c r="C194" s="2" t="s">
        <v>286</v>
      </c>
      <c r="D194" s="2"/>
      <c r="E194" s="2">
        <v>210000</v>
      </c>
      <c r="F194" s="2">
        <f t="shared" ref="F194:F257" si="9">IF(TRIM(B194)="Thu", E194, -E194)</f>
        <v>210000</v>
      </c>
      <c r="G194" s="2" t="str">
        <f t="shared" ref="G194:G236" si="10">IF(AND(B194="Chi", E194&gt;2000000), "Chi tiêu lớn", "")</f>
        <v/>
      </c>
      <c r="H194" s="4">
        <v>46228</v>
      </c>
      <c r="I194" s="7">
        <f t="shared" ref="I194:I257" si="11">MONTH(H194)</f>
        <v>7</v>
      </c>
      <c r="J194" s="2" t="s">
        <v>13</v>
      </c>
      <c r="K194" s="2" t="s">
        <v>7</v>
      </c>
      <c r="L194" s="2" t="s">
        <v>115</v>
      </c>
    </row>
    <row r="195" spans="1:12" ht="14.25" customHeight="1" x14ac:dyDescent="0.25">
      <c r="A195" s="2">
        <v>206</v>
      </c>
      <c r="B195" s="2" t="s">
        <v>439</v>
      </c>
      <c r="C195" s="2" t="s">
        <v>361</v>
      </c>
      <c r="D195" s="2"/>
      <c r="E195" s="2">
        <v>850000</v>
      </c>
      <c r="F195" s="2">
        <f t="shared" si="9"/>
        <v>-850000</v>
      </c>
      <c r="G195" s="2" t="str">
        <f t="shared" si="10"/>
        <v/>
      </c>
      <c r="H195" s="4">
        <v>46229</v>
      </c>
      <c r="I195" s="7">
        <f t="shared" si="11"/>
        <v>7</v>
      </c>
      <c r="J195" s="2" t="s">
        <v>6</v>
      </c>
      <c r="K195" s="2" t="s">
        <v>7</v>
      </c>
      <c r="L195" s="2" t="s">
        <v>181</v>
      </c>
    </row>
    <row r="196" spans="1:12" ht="14.25" customHeight="1" x14ac:dyDescent="0.25">
      <c r="A196" s="2">
        <v>208</v>
      </c>
      <c r="B196" s="2" t="s">
        <v>439</v>
      </c>
      <c r="C196" s="2" t="s">
        <v>362</v>
      </c>
      <c r="D196" s="2"/>
      <c r="E196" s="2">
        <v>60000</v>
      </c>
      <c r="F196" s="2">
        <f t="shared" si="9"/>
        <v>-60000</v>
      </c>
      <c r="G196" s="2" t="str">
        <f t="shared" si="10"/>
        <v/>
      </c>
      <c r="H196" s="4">
        <v>46231</v>
      </c>
      <c r="I196" s="7">
        <f t="shared" si="11"/>
        <v>7</v>
      </c>
      <c r="J196" s="2" t="s">
        <v>11</v>
      </c>
      <c r="K196" s="2" t="s">
        <v>7</v>
      </c>
      <c r="L196" s="2" t="s">
        <v>193</v>
      </c>
    </row>
    <row r="197" spans="1:12" ht="14.25" customHeight="1" x14ac:dyDescent="0.25">
      <c r="A197" s="2">
        <v>209</v>
      </c>
      <c r="B197" s="2" t="s">
        <v>440</v>
      </c>
      <c r="C197" s="2" t="s">
        <v>382</v>
      </c>
      <c r="D197" s="2"/>
      <c r="E197" s="2">
        <v>45000</v>
      </c>
      <c r="F197" s="2">
        <f t="shared" si="9"/>
        <v>45000</v>
      </c>
      <c r="G197" s="2" t="str">
        <f t="shared" si="10"/>
        <v/>
      </c>
      <c r="H197" s="4">
        <v>46232</v>
      </c>
      <c r="I197" s="7">
        <f t="shared" si="11"/>
        <v>7</v>
      </c>
      <c r="J197" s="2" t="s">
        <v>9</v>
      </c>
      <c r="K197" s="2" t="s">
        <v>7</v>
      </c>
      <c r="L197" s="2" t="s">
        <v>194</v>
      </c>
    </row>
    <row r="198" spans="1:12" ht="14.25" customHeight="1" x14ac:dyDescent="0.25">
      <c r="A198" s="2">
        <v>210</v>
      </c>
      <c r="B198" s="2" t="s">
        <v>439</v>
      </c>
      <c r="C198" s="2" t="s">
        <v>383</v>
      </c>
      <c r="D198" s="2"/>
      <c r="E198" s="2">
        <v>150000</v>
      </c>
      <c r="F198" s="2">
        <f t="shared" si="9"/>
        <v>-150000</v>
      </c>
      <c r="G198" s="2" t="str">
        <f t="shared" si="10"/>
        <v/>
      </c>
      <c r="H198" s="4">
        <v>46233</v>
      </c>
      <c r="I198" s="7">
        <f t="shared" si="11"/>
        <v>7</v>
      </c>
      <c r="J198" s="2" t="s">
        <v>11</v>
      </c>
      <c r="K198" s="2" t="s">
        <v>7</v>
      </c>
      <c r="L198" s="2" t="s">
        <v>21</v>
      </c>
    </row>
    <row r="199" spans="1:12" ht="14.25" customHeight="1" x14ac:dyDescent="0.25">
      <c r="A199" s="2">
        <v>211</v>
      </c>
      <c r="B199" s="2" t="s">
        <v>440</v>
      </c>
      <c r="C199" s="2" t="s">
        <v>384</v>
      </c>
      <c r="D199" s="2"/>
      <c r="E199" s="2">
        <v>25000000</v>
      </c>
      <c r="F199" s="2">
        <f t="shared" si="9"/>
        <v>25000000</v>
      </c>
      <c r="G199" s="2" t="str">
        <f t="shared" si="10"/>
        <v/>
      </c>
      <c r="H199" s="4">
        <v>46234</v>
      </c>
      <c r="I199" s="7">
        <f t="shared" si="11"/>
        <v>7</v>
      </c>
      <c r="J199" s="2" t="s">
        <v>13</v>
      </c>
      <c r="K199" s="2" t="s">
        <v>7</v>
      </c>
      <c r="L199" s="2" t="s">
        <v>122</v>
      </c>
    </row>
    <row r="200" spans="1:12" ht="14.25" customHeight="1" x14ac:dyDescent="0.25">
      <c r="A200" s="2">
        <v>212</v>
      </c>
      <c r="B200" s="2" t="s">
        <v>439</v>
      </c>
      <c r="C200" s="2" t="s">
        <v>385</v>
      </c>
      <c r="D200" s="2"/>
      <c r="E200" s="2">
        <v>8000000</v>
      </c>
      <c r="F200" s="2">
        <f t="shared" si="9"/>
        <v>-8000000</v>
      </c>
      <c r="G200" s="2" t="str">
        <f t="shared" si="10"/>
        <v>Chi tiêu lớn</v>
      </c>
      <c r="H200" s="4">
        <v>46030</v>
      </c>
      <c r="I200" s="7">
        <f t="shared" si="11"/>
        <v>1</v>
      </c>
      <c r="J200" s="2" t="s">
        <v>6</v>
      </c>
      <c r="K200" s="2" t="s">
        <v>7</v>
      </c>
      <c r="L200" s="2" t="s">
        <v>195</v>
      </c>
    </row>
    <row r="201" spans="1:12" ht="14.25" customHeight="1" x14ac:dyDescent="0.25">
      <c r="A201" s="2">
        <v>213</v>
      </c>
      <c r="B201" s="2" t="s">
        <v>439</v>
      </c>
      <c r="C201" s="2" t="s">
        <v>386</v>
      </c>
      <c r="D201" s="2"/>
      <c r="E201" s="2">
        <v>23000000</v>
      </c>
      <c r="F201" s="2">
        <f t="shared" si="9"/>
        <v>-23000000</v>
      </c>
      <c r="G201" s="2" t="str">
        <f t="shared" si="10"/>
        <v>Chi tiêu lớn</v>
      </c>
      <c r="H201" s="4">
        <v>46061</v>
      </c>
      <c r="I201" s="7">
        <f t="shared" si="11"/>
        <v>2</v>
      </c>
      <c r="J201" s="2" t="s">
        <v>9</v>
      </c>
      <c r="K201" s="2" t="s">
        <v>7</v>
      </c>
      <c r="L201" s="2" t="s">
        <v>196</v>
      </c>
    </row>
    <row r="202" spans="1:12" ht="14.25" customHeight="1" x14ac:dyDescent="0.25">
      <c r="A202" s="2">
        <v>214</v>
      </c>
      <c r="B202" s="2" t="s">
        <v>440</v>
      </c>
      <c r="C202" s="2" t="s">
        <v>387</v>
      </c>
      <c r="D202" s="2"/>
      <c r="E202" s="2">
        <v>350000</v>
      </c>
      <c r="F202" s="2">
        <f t="shared" si="9"/>
        <v>350000</v>
      </c>
      <c r="G202" s="2" t="str">
        <f t="shared" si="10"/>
        <v/>
      </c>
      <c r="H202" s="4">
        <v>46089</v>
      </c>
      <c r="I202" s="7">
        <f t="shared" si="11"/>
        <v>3</v>
      </c>
      <c r="J202" s="2" t="s">
        <v>9</v>
      </c>
      <c r="K202" s="2" t="s">
        <v>7</v>
      </c>
      <c r="L202" s="2" t="s">
        <v>197</v>
      </c>
    </row>
    <row r="203" spans="1:12" ht="14.25" customHeight="1" x14ac:dyDescent="0.25">
      <c r="A203" s="2">
        <v>215</v>
      </c>
      <c r="B203" s="2" t="s">
        <v>439</v>
      </c>
      <c r="C203" s="2" t="s">
        <v>388</v>
      </c>
      <c r="D203" s="2"/>
      <c r="E203" s="2">
        <v>120000</v>
      </c>
      <c r="F203" s="2">
        <f t="shared" si="9"/>
        <v>-120000</v>
      </c>
      <c r="G203" s="2" t="str">
        <f t="shared" si="10"/>
        <v/>
      </c>
      <c r="H203" s="4">
        <v>46120</v>
      </c>
      <c r="I203" s="7">
        <f t="shared" si="11"/>
        <v>4</v>
      </c>
      <c r="J203" s="2" t="s">
        <v>11</v>
      </c>
      <c r="K203" s="2" t="s">
        <v>7</v>
      </c>
      <c r="L203" s="2" t="s">
        <v>198</v>
      </c>
    </row>
    <row r="204" spans="1:12" ht="14.25" customHeight="1" x14ac:dyDescent="0.25">
      <c r="A204" s="2">
        <v>216</v>
      </c>
      <c r="B204" s="2" t="s">
        <v>439</v>
      </c>
      <c r="C204" s="2" t="s">
        <v>365</v>
      </c>
      <c r="D204" s="2"/>
      <c r="E204" s="2">
        <v>140000</v>
      </c>
      <c r="F204" s="2">
        <f t="shared" si="9"/>
        <v>-140000</v>
      </c>
      <c r="G204" s="2" t="str">
        <f t="shared" si="10"/>
        <v/>
      </c>
      <c r="H204" s="4">
        <v>46150</v>
      </c>
      <c r="I204" s="7">
        <f t="shared" si="11"/>
        <v>5</v>
      </c>
      <c r="J204" s="2" t="s">
        <v>6</v>
      </c>
      <c r="K204" s="2" t="s">
        <v>7</v>
      </c>
      <c r="L204" s="2" t="s">
        <v>199</v>
      </c>
    </row>
    <row r="205" spans="1:12" ht="14.25" customHeight="1" x14ac:dyDescent="0.25">
      <c r="A205" s="2">
        <v>217</v>
      </c>
      <c r="B205" s="2" t="s">
        <v>440</v>
      </c>
      <c r="C205" s="2" t="s">
        <v>389</v>
      </c>
      <c r="D205" s="2"/>
      <c r="E205" s="2">
        <v>5000000</v>
      </c>
      <c r="F205" s="2">
        <f t="shared" si="9"/>
        <v>5000000</v>
      </c>
      <c r="G205" s="2" t="str">
        <f t="shared" si="10"/>
        <v/>
      </c>
      <c r="H205" s="4">
        <v>46181</v>
      </c>
      <c r="I205" s="7">
        <f t="shared" si="11"/>
        <v>6</v>
      </c>
      <c r="J205" s="2" t="s">
        <v>13</v>
      </c>
      <c r="K205" s="2" t="s">
        <v>7</v>
      </c>
      <c r="L205" s="2" t="s">
        <v>200</v>
      </c>
    </row>
    <row r="206" spans="1:12" ht="14.25" customHeight="1" x14ac:dyDescent="0.25">
      <c r="A206" s="2">
        <v>218</v>
      </c>
      <c r="B206" s="2" t="s">
        <v>439</v>
      </c>
      <c r="C206" s="2" t="s">
        <v>390</v>
      </c>
      <c r="D206" s="2"/>
      <c r="E206" s="2">
        <v>70000</v>
      </c>
      <c r="F206" s="2">
        <f t="shared" si="9"/>
        <v>-70000</v>
      </c>
      <c r="G206" s="2" t="str">
        <f t="shared" si="10"/>
        <v/>
      </c>
      <c r="H206" s="4">
        <v>46211</v>
      </c>
      <c r="I206" s="7">
        <f t="shared" si="11"/>
        <v>7</v>
      </c>
      <c r="J206" s="2" t="s">
        <v>11</v>
      </c>
      <c r="K206" s="2" t="s">
        <v>7</v>
      </c>
      <c r="L206" s="2" t="s">
        <v>201</v>
      </c>
    </row>
    <row r="207" spans="1:12" ht="14.25" customHeight="1" x14ac:dyDescent="0.25">
      <c r="A207" s="2">
        <v>219</v>
      </c>
      <c r="B207" s="2" t="s">
        <v>439</v>
      </c>
      <c r="C207" s="2" t="s">
        <v>391</v>
      </c>
      <c r="D207" s="2"/>
      <c r="E207" s="2">
        <v>12000000</v>
      </c>
      <c r="F207" s="2">
        <f t="shared" si="9"/>
        <v>-12000000</v>
      </c>
      <c r="G207" s="2" t="str">
        <f t="shared" si="10"/>
        <v>Chi tiêu lớn</v>
      </c>
      <c r="H207" s="4">
        <v>46242</v>
      </c>
      <c r="I207" s="7">
        <f t="shared" si="11"/>
        <v>8</v>
      </c>
      <c r="J207" s="2" t="s">
        <v>6</v>
      </c>
      <c r="K207" s="2" t="s">
        <v>7</v>
      </c>
      <c r="L207" s="2" t="s">
        <v>202</v>
      </c>
    </row>
    <row r="208" spans="1:12" ht="14.25" customHeight="1" x14ac:dyDescent="0.25">
      <c r="A208" s="2">
        <v>220</v>
      </c>
      <c r="B208" s="2" t="s">
        <v>440</v>
      </c>
      <c r="C208" s="2" t="s">
        <v>392</v>
      </c>
      <c r="D208" s="2"/>
      <c r="E208" s="2">
        <v>15000000</v>
      </c>
      <c r="F208" s="2">
        <f t="shared" si="9"/>
        <v>15000000</v>
      </c>
      <c r="G208" s="2" t="str">
        <f t="shared" si="10"/>
        <v/>
      </c>
      <c r="H208" s="4">
        <v>46273</v>
      </c>
      <c r="I208" s="7">
        <f t="shared" si="11"/>
        <v>9</v>
      </c>
      <c r="J208" s="2" t="s">
        <v>13</v>
      </c>
      <c r="K208" s="2" t="s">
        <v>7</v>
      </c>
      <c r="L208" s="2" t="s">
        <v>203</v>
      </c>
    </row>
    <row r="209" spans="1:12" ht="14.25" customHeight="1" x14ac:dyDescent="0.25">
      <c r="A209" s="2">
        <v>221</v>
      </c>
      <c r="B209" s="2" t="s">
        <v>439</v>
      </c>
      <c r="C209" s="2" t="s">
        <v>393</v>
      </c>
      <c r="D209" s="2"/>
      <c r="E209" s="2">
        <v>21000000</v>
      </c>
      <c r="F209" s="2">
        <f t="shared" si="9"/>
        <v>-21000000</v>
      </c>
      <c r="G209" s="2" t="str">
        <f t="shared" si="10"/>
        <v>Chi tiêu lớn</v>
      </c>
      <c r="H209" s="4">
        <v>46303</v>
      </c>
      <c r="I209" s="7">
        <f t="shared" si="11"/>
        <v>10</v>
      </c>
      <c r="J209" s="2" t="s">
        <v>6</v>
      </c>
      <c r="K209" s="2" t="s">
        <v>7</v>
      </c>
      <c r="L209" s="2" t="s">
        <v>167</v>
      </c>
    </row>
    <row r="210" spans="1:12" ht="14.25" customHeight="1" x14ac:dyDescent="0.25">
      <c r="A210" s="2">
        <v>222</v>
      </c>
      <c r="B210" s="2" t="s">
        <v>439</v>
      </c>
      <c r="C210" s="2" t="s">
        <v>268</v>
      </c>
      <c r="D210" s="2"/>
      <c r="E210" s="2">
        <v>35000000</v>
      </c>
      <c r="F210" s="2">
        <f t="shared" si="9"/>
        <v>-35000000</v>
      </c>
      <c r="G210" s="2" t="str">
        <f t="shared" si="10"/>
        <v>Chi tiêu lớn</v>
      </c>
      <c r="H210" s="4">
        <v>46334</v>
      </c>
      <c r="I210" s="7">
        <f t="shared" si="11"/>
        <v>11</v>
      </c>
      <c r="J210" s="2" t="s">
        <v>13</v>
      </c>
      <c r="K210" s="2" t="s">
        <v>7</v>
      </c>
      <c r="L210" s="2" t="s">
        <v>204</v>
      </c>
    </row>
    <row r="211" spans="1:12" ht="14.25" customHeight="1" x14ac:dyDescent="0.25">
      <c r="A211" s="2">
        <v>223</v>
      </c>
      <c r="B211" s="2" t="s">
        <v>439</v>
      </c>
      <c r="C211" s="2" t="s">
        <v>358</v>
      </c>
      <c r="D211" s="2"/>
      <c r="E211" s="2">
        <v>700000</v>
      </c>
      <c r="F211" s="2">
        <f t="shared" si="9"/>
        <v>-700000</v>
      </c>
      <c r="G211" s="2" t="str">
        <f t="shared" si="10"/>
        <v/>
      </c>
      <c r="H211" s="4">
        <v>46364</v>
      </c>
      <c r="I211" s="7">
        <f t="shared" si="11"/>
        <v>12</v>
      </c>
      <c r="J211" s="2" t="s">
        <v>11</v>
      </c>
      <c r="K211" s="2" t="s">
        <v>7</v>
      </c>
      <c r="L211" s="2" t="s">
        <v>205</v>
      </c>
    </row>
    <row r="212" spans="1:12" ht="14.25" customHeight="1" x14ac:dyDescent="0.25">
      <c r="A212" s="2">
        <v>224</v>
      </c>
      <c r="B212" s="2" t="s">
        <v>440</v>
      </c>
      <c r="C212" s="2" t="s">
        <v>394</v>
      </c>
      <c r="D212" s="2"/>
      <c r="E212" s="2">
        <v>250000</v>
      </c>
      <c r="F212" s="2">
        <f t="shared" si="9"/>
        <v>250000</v>
      </c>
      <c r="G212" s="2" t="str">
        <f t="shared" si="10"/>
        <v/>
      </c>
      <c r="H212" s="4">
        <v>46247</v>
      </c>
      <c r="I212" s="7">
        <f t="shared" si="11"/>
        <v>8</v>
      </c>
      <c r="J212" s="2" t="s">
        <v>9</v>
      </c>
      <c r="K212" s="2" t="s">
        <v>7</v>
      </c>
      <c r="L212" s="2" t="s">
        <v>128</v>
      </c>
    </row>
    <row r="213" spans="1:12" ht="14.25" customHeight="1" x14ac:dyDescent="0.25">
      <c r="A213" s="2">
        <v>225</v>
      </c>
      <c r="B213" s="2" t="s">
        <v>439</v>
      </c>
      <c r="C213" s="2" t="s">
        <v>257</v>
      </c>
      <c r="D213" s="2"/>
      <c r="E213" s="2">
        <v>100000</v>
      </c>
      <c r="F213" s="2">
        <f t="shared" si="9"/>
        <v>-100000</v>
      </c>
      <c r="G213" s="2" t="str">
        <f t="shared" si="10"/>
        <v/>
      </c>
      <c r="H213" s="4">
        <v>46248</v>
      </c>
      <c r="I213" s="7">
        <f t="shared" si="11"/>
        <v>8</v>
      </c>
      <c r="J213" s="2" t="s">
        <v>9</v>
      </c>
      <c r="K213" s="2" t="s">
        <v>7</v>
      </c>
      <c r="L213" s="2" t="s">
        <v>206</v>
      </c>
    </row>
    <row r="214" spans="1:12" ht="14.25" customHeight="1" x14ac:dyDescent="0.25">
      <c r="A214" s="2">
        <v>226</v>
      </c>
      <c r="B214" s="2" t="s">
        <v>439</v>
      </c>
      <c r="C214" s="2" t="s">
        <v>395</v>
      </c>
      <c r="D214" s="2"/>
      <c r="E214" s="2">
        <v>11000</v>
      </c>
      <c r="F214" s="2">
        <f t="shared" si="9"/>
        <v>-11000</v>
      </c>
      <c r="G214" s="2" t="str">
        <f t="shared" si="10"/>
        <v/>
      </c>
      <c r="H214" s="4">
        <v>46249</v>
      </c>
      <c r="I214" s="7">
        <f t="shared" si="11"/>
        <v>8</v>
      </c>
      <c r="J214" s="2" t="s">
        <v>6</v>
      </c>
      <c r="K214" s="2" t="s">
        <v>7</v>
      </c>
      <c r="L214" s="2" t="s">
        <v>207</v>
      </c>
    </row>
    <row r="215" spans="1:12" ht="14.25" customHeight="1" x14ac:dyDescent="0.25">
      <c r="A215" s="2">
        <v>227</v>
      </c>
      <c r="B215" s="2" t="s">
        <v>440</v>
      </c>
      <c r="C215" s="2" t="s">
        <v>327</v>
      </c>
      <c r="D215" s="2"/>
      <c r="E215" s="2">
        <v>4000000</v>
      </c>
      <c r="F215" s="2">
        <f t="shared" si="9"/>
        <v>4000000</v>
      </c>
      <c r="G215" s="2" t="str">
        <f t="shared" si="10"/>
        <v/>
      </c>
      <c r="H215" s="4">
        <v>46250</v>
      </c>
      <c r="I215" s="7">
        <f t="shared" si="11"/>
        <v>8</v>
      </c>
      <c r="J215" s="2" t="s">
        <v>13</v>
      </c>
      <c r="K215" s="2" t="s">
        <v>7</v>
      </c>
      <c r="L215" s="2" t="s">
        <v>208</v>
      </c>
    </row>
    <row r="216" spans="1:12" ht="14.25" customHeight="1" x14ac:dyDescent="0.25">
      <c r="A216" s="2">
        <v>228</v>
      </c>
      <c r="B216" s="2" t="s">
        <v>439</v>
      </c>
      <c r="C216" s="2" t="s">
        <v>396</v>
      </c>
      <c r="D216" s="2"/>
      <c r="E216" s="2">
        <v>600000</v>
      </c>
      <c r="F216" s="2">
        <f t="shared" si="9"/>
        <v>-600000</v>
      </c>
      <c r="G216" s="2" t="str">
        <f t="shared" si="10"/>
        <v/>
      </c>
      <c r="H216" s="4">
        <v>46251</v>
      </c>
      <c r="I216" s="7">
        <f t="shared" si="11"/>
        <v>8</v>
      </c>
      <c r="J216" s="2" t="s">
        <v>6</v>
      </c>
      <c r="K216" s="2" t="s">
        <v>7</v>
      </c>
      <c r="L216" s="2" t="s">
        <v>43</v>
      </c>
    </row>
    <row r="217" spans="1:12" ht="14.25" customHeight="1" x14ac:dyDescent="0.25">
      <c r="A217" s="2">
        <v>229</v>
      </c>
      <c r="B217" s="2" t="s">
        <v>439</v>
      </c>
      <c r="C217" s="2" t="s">
        <v>313</v>
      </c>
      <c r="D217" s="2"/>
      <c r="E217" s="2">
        <v>250000</v>
      </c>
      <c r="F217" s="2">
        <f t="shared" si="9"/>
        <v>-250000</v>
      </c>
      <c r="G217" s="2" t="str">
        <f t="shared" si="10"/>
        <v/>
      </c>
      <c r="H217" s="4">
        <v>46252</v>
      </c>
      <c r="I217" s="7">
        <f t="shared" si="11"/>
        <v>8</v>
      </c>
      <c r="J217" s="2" t="s">
        <v>11</v>
      </c>
      <c r="K217" s="2" t="s">
        <v>7</v>
      </c>
      <c r="L217" s="2" t="s">
        <v>113</v>
      </c>
    </row>
    <row r="218" spans="1:12" ht="14.25" customHeight="1" x14ac:dyDescent="0.25">
      <c r="A218" s="2">
        <v>230</v>
      </c>
      <c r="B218" s="2" t="s">
        <v>439</v>
      </c>
      <c r="C218" s="2" t="s">
        <v>397</v>
      </c>
      <c r="D218" s="2"/>
      <c r="E218" s="2">
        <v>45000</v>
      </c>
      <c r="F218" s="2">
        <f t="shared" si="9"/>
        <v>-45000</v>
      </c>
      <c r="G218" s="2" t="str">
        <f t="shared" si="10"/>
        <v/>
      </c>
      <c r="H218" s="4">
        <v>46253</v>
      </c>
      <c r="I218" s="7">
        <f t="shared" si="11"/>
        <v>8</v>
      </c>
      <c r="J218" s="2" t="s">
        <v>9</v>
      </c>
      <c r="K218" s="2" t="s">
        <v>7</v>
      </c>
      <c r="L218" s="2" t="s">
        <v>209</v>
      </c>
    </row>
    <row r="219" spans="1:12" ht="14.25" customHeight="1" x14ac:dyDescent="0.25">
      <c r="A219" s="2">
        <v>231</v>
      </c>
      <c r="B219" s="2" t="s">
        <v>440</v>
      </c>
      <c r="C219" s="2" t="s">
        <v>420</v>
      </c>
      <c r="D219" s="2" t="s">
        <v>432</v>
      </c>
      <c r="E219" s="2">
        <v>1000000</v>
      </c>
      <c r="F219" s="2">
        <f t="shared" si="9"/>
        <v>1000000</v>
      </c>
      <c r="G219" s="2" t="str">
        <f t="shared" si="10"/>
        <v/>
      </c>
      <c r="H219" s="4">
        <v>46254</v>
      </c>
      <c r="I219" s="7">
        <f t="shared" si="11"/>
        <v>8</v>
      </c>
      <c r="J219" s="2" t="s">
        <v>13</v>
      </c>
      <c r="K219" s="2" t="s">
        <v>7</v>
      </c>
      <c r="L219" s="2" t="s">
        <v>210</v>
      </c>
    </row>
    <row r="220" spans="1:12" ht="14.25" customHeight="1" x14ac:dyDescent="0.25">
      <c r="A220" s="2">
        <v>232</v>
      </c>
      <c r="B220" s="2" t="s">
        <v>439</v>
      </c>
      <c r="C220" s="2" t="s">
        <v>398</v>
      </c>
      <c r="D220" s="2"/>
      <c r="E220" s="2">
        <v>275000</v>
      </c>
      <c r="F220" s="2">
        <f t="shared" si="9"/>
        <v>-275000</v>
      </c>
      <c r="G220" s="2" t="str">
        <f t="shared" si="10"/>
        <v/>
      </c>
      <c r="H220" s="4">
        <v>46255</v>
      </c>
      <c r="I220" s="7">
        <f t="shared" si="11"/>
        <v>8</v>
      </c>
      <c r="J220" s="2" t="s">
        <v>9</v>
      </c>
      <c r="K220" s="2" t="s">
        <v>7</v>
      </c>
      <c r="L220" s="2" t="s">
        <v>54</v>
      </c>
    </row>
    <row r="221" spans="1:12" ht="14.25" customHeight="1" x14ac:dyDescent="0.25">
      <c r="A221" s="2">
        <v>233</v>
      </c>
      <c r="B221" s="2" t="s">
        <v>439</v>
      </c>
      <c r="C221" s="2" t="s">
        <v>337</v>
      </c>
      <c r="D221" s="2"/>
      <c r="E221" s="2">
        <v>13000000</v>
      </c>
      <c r="F221" s="2">
        <f t="shared" si="9"/>
        <v>-13000000</v>
      </c>
      <c r="G221" s="2" t="str">
        <f t="shared" si="10"/>
        <v>Chi tiêu lớn</v>
      </c>
      <c r="H221" s="4">
        <v>46256</v>
      </c>
      <c r="I221" s="7">
        <f t="shared" si="11"/>
        <v>8</v>
      </c>
      <c r="J221" s="2" t="s">
        <v>6</v>
      </c>
      <c r="K221" s="2" t="s">
        <v>7</v>
      </c>
      <c r="L221" s="2" t="s">
        <v>211</v>
      </c>
    </row>
    <row r="222" spans="1:12" ht="14.25" customHeight="1" x14ac:dyDescent="0.25">
      <c r="A222" s="2">
        <v>234</v>
      </c>
      <c r="B222" s="2" t="s">
        <v>439</v>
      </c>
      <c r="C222" s="2" t="s">
        <v>399</v>
      </c>
      <c r="D222" s="2"/>
      <c r="E222" s="2">
        <v>55000</v>
      </c>
      <c r="F222" s="2">
        <f t="shared" si="9"/>
        <v>-55000</v>
      </c>
      <c r="G222" s="2" t="str">
        <f t="shared" si="10"/>
        <v/>
      </c>
      <c r="H222" s="4">
        <v>46257</v>
      </c>
      <c r="I222" s="7">
        <f t="shared" si="11"/>
        <v>8</v>
      </c>
      <c r="J222" s="2" t="s">
        <v>11</v>
      </c>
      <c r="K222" s="2" t="s">
        <v>7</v>
      </c>
      <c r="L222" s="2" t="s">
        <v>212</v>
      </c>
    </row>
    <row r="223" spans="1:12" ht="14.25" customHeight="1" x14ac:dyDescent="0.25">
      <c r="A223" s="2">
        <v>235</v>
      </c>
      <c r="B223" s="2" t="s">
        <v>440</v>
      </c>
      <c r="C223" s="2" t="s">
        <v>282</v>
      </c>
      <c r="D223" s="2"/>
      <c r="E223" s="2">
        <v>2000000</v>
      </c>
      <c r="F223" s="2">
        <f t="shared" si="9"/>
        <v>2000000</v>
      </c>
      <c r="G223" s="2" t="str">
        <f t="shared" si="10"/>
        <v/>
      </c>
      <c r="H223" s="4">
        <v>46258</v>
      </c>
      <c r="I223" s="7">
        <f t="shared" si="11"/>
        <v>8</v>
      </c>
      <c r="J223" s="2" t="s">
        <v>9</v>
      </c>
      <c r="K223" s="2" t="s">
        <v>7</v>
      </c>
      <c r="L223" s="2" t="s">
        <v>213</v>
      </c>
    </row>
    <row r="224" spans="1:12" ht="14.25" customHeight="1" x14ac:dyDescent="0.25">
      <c r="A224" s="2">
        <v>236</v>
      </c>
      <c r="B224" s="2" t="s">
        <v>439</v>
      </c>
      <c r="C224" s="2" t="s">
        <v>260</v>
      </c>
      <c r="D224" s="2"/>
      <c r="E224" s="2">
        <v>800000</v>
      </c>
      <c r="F224" s="2">
        <f t="shared" si="9"/>
        <v>-800000</v>
      </c>
      <c r="G224" s="2" t="str">
        <f t="shared" si="10"/>
        <v/>
      </c>
      <c r="H224" s="4">
        <v>46259</v>
      </c>
      <c r="I224" s="7">
        <f t="shared" si="11"/>
        <v>8</v>
      </c>
      <c r="J224" s="2" t="s">
        <v>11</v>
      </c>
      <c r="K224" s="2" t="s">
        <v>7</v>
      </c>
      <c r="L224" s="2" t="s">
        <v>91</v>
      </c>
    </row>
    <row r="225" spans="1:12" ht="14.25" customHeight="1" x14ac:dyDescent="0.25">
      <c r="A225" s="2">
        <v>237</v>
      </c>
      <c r="B225" s="2" t="s">
        <v>439</v>
      </c>
      <c r="C225" s="2" t="s">
        <v>288</v>
      </c>
      <c r="D225" s="2"/>
      <c r="E225" s="2">
        <v>550000</v>
      </c>
      <c r="F225" s="2">
        <f t="shared" si="9"/>
        <v>-550000</v>
      </c>
      <c r="G225" s="2" t="str">
        <f t="shared" si="10"/>
        <v/>
      </c>
      <c r="H225" s="4">
        <v>46260</v>
      </c>
      <c r="I225" s="7">
        <f t="shared" si="11"/>
        <v>8</v>
      </c>
      <c r="J225" s="2" t="s">
        <v>6</v>
      </c>
      <c r="K225" s="2" t="s">
        <v>7</v>
      </c>
      <c r="L225" s="2" t="s">
        <v>130</v>
      </c>
    </row>
    <row r="226" spans="1:12" ht="14.25" customHeight="1" x14ac:dyDescent="0.25">
      <c r="A226" s="2">
        <v>238</v>
      </c>
      <c r="B226" s="2" t="s">
        <v>440</v>
      </c>
      <c r="C226" s="2" t="s">
        <v>369</v>
      </c>
      <c r="D226" s="2"/>
      <c r="E226" s="2">
        <v>500000</v>
      </c>
      <c r="F226" s="2">
        <f t="shared" si="9"/>
        <v>500000</v>
      </c>
      <c r="G226" s="2" t="str">
        <f t="shared" si="10"/>
        <v/>
      </c>
      <c r="H226" s="4">
        <v>46261</v>
      </c>
      <c r="I226" s="7">
        <f t="shared" si="11"/>
        <v>8</v>
      </c>
      <c r="J226" s="2" t="s">
        <v>9</v>
      </c>
      <c r="K226" s="2" t="s">
        <v>7</v>
      </c>
      <c r="L226" s="2" t="s">
        <v>214</v>
      </c>
    </row>
    <row r="227" spans="1:12" ht="14.25" customHeight="1" x14ac:dyDescent="0.25">
      <c r="A227" s="2">
        <v>239</v>
      </c>
      <c r="B227" s="2" t="s">
        <v>439</v>
      </c>
      <c r="C227" s="2" t="s">
        <v>400</v>
      </c>
      <c r="D227" s="2"/>
      <c r="E227" s="2">
        <v>11000000</v>
      </c>
      <c r="F227" s="2">
        <f t="shared" si="9"/>
        <v>-11000000</v>
      </c>
      <c r="G227" s="2" t="str">
        <f t="shared" si="10"/>
        <v>Chi tiêu lớn</v>
      </c>
      <c r="H227" s="4">
        <v>46262</v>
      </c>
      <c r="I227" s="7">
        <f t="shared" si="11"/>
        <v>8</v>
      </c>
      <c r="J227" s="2" t="s">
        <v>6</v>
      </c>
      <c r="K227" s="2" t="s">
        <v>7</v>
      </c>
      <c r="L227" s="2" t="s">
        <v>181</v>
      </c>
    </row>
    <row r="228" spans="1:12" ht="14.25" customHeight="1" x14ac:dyDescent="0.25">
      <c r="A228" s="2">
        <v>240</v>
      </c>
      <c r="B228" s="2" t="s">
        <v>439</v>
      </c>
      <c r="C228" s="2" t="s">
        <v>297</v>
      </c>
      <c r="D228" s="2"/>
      <c r="E228" s="2">
        <v>320000</v>
      </c>
      <c r="F228" s="2">
        <f t="shared" si="9"/>
        <v>-320000</v>
      </c>
      <c r="G228" s="2" t="str">
        <f t="shared" si="10"/>
        <v/>
      </c>
      <c r="H228" s="4">
        <v>46263</v>
      </c>
      <c r="I228" s="7">
        <f t="shared" si="11"/>
        <v>8</v>
      </c>
      <c r="J228" s="2" t="s">
        <v>11</v>
      </c>
      <c r="K228" s="2" t="s">
        <v>7</v>
      </c>
      <c r="L228" s="2" t="s">
        <v>215</v>
      </c>
    </row>
    <row r="229" spans="1:12" ht="14.25" customHeight="1" x14ac:dyDescent="0.25">
      <c r="A229" s="2">
        <v>241</v>
      </c>
      <c r="B229" s="2" t="s">
        <v>440</v>
      </c>
      <c r="C229" s="2" t="s">
        <v>401</v>
      </c>
      <c r="D229" s="2"/>
      <c r="E229" s="2">
        <v>25000000</v>
      </c>
      <c r="F229" s="2">
        <f t="shared" si="9"/>
        <v>25000000</v>
      </c>
      <c r="G229" s="2" t="str">
        <f t="shared" si="10"/>
        <v/>
      </c>
      <c r="H229" s="4">
        <v>46264</v>
      </c>
      <c r="I229" s="7">
        <f t="shared" si="11"/>
        <v>8</v>
      </c>
      <c r="J229" s="2" t="s">
        <v>13</v>
      </c>
      <c r="K229" s="2" t="s">
        <v>7</v>
      </c>
      <c r="L229" s="2" t="s">
        <v>216</v>
      </c>
    </row>
    <row r="230" spans="1:12" ht="14.25" customHeight="1" x14ac:dyDescent="0.25">
      <c r="A230" s="2">
        <v>242</v>
      </c>
      <c r="B230" s="2" t="s">
        <v>439</v>
      </c>
      <c r="C230" s="2" t="s">
        <v>402</v>
      </c>
      <c r="D230" s="2"/>
      <c r="E230" s="2">
        <v>65000000</v>
      </c>
      <c r="F230" s="2">
        <f t="shared" si="9"/>
        <v>-65000000</v>
      </c>
      <c r="G230" s="2" t="str">
        <f t="shared" si="10"/>
        <v>Chi tiêu lớn</v>
      </c>
      <c r="H230" s="4">
        <v>46265</v>
      </c>
      <c r="I230" s="7">
        <f t="shared" si="11"/>
        <v>8</v>
      </c>
      <c r="J230" s="2" t="s">
        <v>6</v>
      </c>
      <c r="K230" s="2" t="s">
        <v>7</v>
      </c>
      <c r="L230" s="2" t="s">
        <v>217</v>
      </c>
    </row>
    <row r="231" spans="1:12" ht="14.25" customHeight="1" x14ac:dyDescent="0.25">
      <c r="A231" s="2">
        <v>243</v>
      </c>
      <c r="B231" s="2" t="s">
        <v>439</v>
      </c>
      <c r="C231" s="2" t="s">
        <v>403</v>
      </c>
      <c r="D231" s="2"/>
      <c r="E231" s="2">
        <v>350000</v>
      </c>
      <c r="F231" s="2">
        <f t="shared" si="9"/>
        <v>-350000</v>
      </c>
      <c r="G231" s="2" t="str">
        <f t="shared" si="10"/>
        <v/>
      </c>
      <c r="H231" s="4">
        <v>46031</v>
      </c>
      <c r="I231" s="7">
        <f t="shared" si="11"/>
        <v>1</v>
      </c>
      <c r="J231" s="2" t="s">
        <v>9</v>
      </c>
      <c r="K231" s="2" t="s">
        <v>7</v>
      </c>
      <c r="L231" s="2" t="s">
        <v>218</v>
      </c>
    </row>
    <row r="232" spans="1:12" ht="14.25" customHeight="1" x14ac:dyDescent="0.25">
      <c r="A232" s="2">
        <v>244</v>
      </c>
      <c r="B232" s="2" t="s">
        <v>440</v>
      </c>
      <c r="C232" s="2" t="s">
        <v>404</v>
      </c>
      <c r="D232" s="2"/>
      <c r="E232" s="2">
        <v>2000000</v>
      </c>
      <c r="F232" s="2">
        <f t="shared" si="9"/>
        <v>2000000</v>
      </c>
      <c r="G232" s="2" t="str">
        <f t="shared" si="10"/>
        <v/>
      </c>
      <c r="H232" s="4">
        <v>46062</v>
      </c>
      <c r="I232" s="7">
        <f t="shared" si="11"/>
        <v>2</v>
      </c>
      <c r="J232" s="2" t="s">
        <v>13</v>
      </c>
      <c r="K232" s="2" t="s">
        <v>7</v>
      </c>
      <c r="L232" s="2" t="s">
        <v>219</v>
      </c>
    </row>
    <row r="233" spans="1:12" ht="14.25" customHeight="1" x14ac:dyDescent="0.25">
      <c r="A233" s="2">
        <v>245</v>
      </c>
      <c r="B233" s="2" t="s">
        <v>439</v>
      </c>
      <c r="C233" s="2" t="s">
        <v>405</v>
      </c>
      <c r="D233" s="2"/>
      <c r="E233" s="2">
        <v>42000000</v>
      </c>
      <c r="F233" s="2">
        <f t="shared" si="9"/>
        <v>-42000000</v>
      </c>
      <c r="G233" s="2" t="str">
        <f t="shared" si="10"/>
        <v>Chi tiêu lớn</v>
      </c>
      <c r="H233" s="4">
        <v>46090</v>
      </c>
      <c r="I233" s="7">
        <f t="shared" si="11"/>
        <v>3</v>
      </c>
      <c r="J233" s="2" t="s">
        <v>6</v>
      </c>
      <c r="K233" s="2" t="s">
        <v>7</v>
      </c>
      <c r="L233" s="2" t="s">
        <v>220</v>
      </c>
    </row>
    <row r="234" spans="1:12" ht="14.25" customHeight="1" x14ac:dyDescent="0.25">
      <c r="A234" s="2">
        <v>246</v>
      </c>
      <c r="B234" s="2" t="s">
        <v>439</v>
      </c>
      <c r="C234" s="2" t="s">
        <v>406</v>
      </c>
      <c r="D234" s="2"/>
      <c r="E234" s="2">
        <v>31000000</v>
      </c>
      <c r="F234" s="2">
        <f t="shared" si="9"/>
        <v>-31000000</v>
      </c>
      <c r="G234" s="2" t="str">
        <f t="shared" si="10"/>
        <v>Chi tiêu lớn</v>
      </c>
      <c r="H234" s="4">
        <v>46121</v>
      </c>
      <c r="I234" s="7">
        <f t="shared" si="11"/>
        <v>4</v>
      </c>
      <c r="J234" s="2" t="s">
        <v>11</v>
      </c>
      <c r="K234" s="2" t="s">
        <v>7</v>
      </c>
      <c r="L234" s="2" t="s">
        <v>221</v>
      </c>
    </row>
    <row r="235" spans="1:12" ht="14.25" customHeight="1" x14ac:dyDescent="0.25">
      <c r="A235" s="2">
        <v>247</v>
      </c>
      <c r="B235" s="2" t="s">
        <v>440</v>
      </c>
      <c r="C235" s="2" t="s">
        <v>407</v>
      </c>
      <c r="D235" s="2"/>
      <c r="E235" s="2">
        <v>500000</v>
      </c>
      <c r="F235" s="2">
        <f t="shared" si="9"/>
        <v>500000</v>
      </c>
      <c r="G235" s="2" t="str">
        <f t="shared" si="10"/>
        <v/>
      </c>
      <c r="H235" s="4">
        <v>46151</v>
      </c>
      <c r="I235" s="7">
        <f t="shared" si="11"/>
        <v>5</v>
      </c>
      <c r="J235" s="2" t="s">
        <v>9</v>
      </c>
      <c r="K235" s="2" t="s">
        <v>7</v>
      </c>
      <c r="L235" s="2" t="s">
        <v>222</v>
      </c>
    </row>
    <row r="236" spans="1:12" ht="14.25" customHeight="1" x14ac:dyDescent="0.25">
      <c r="A236" s="2">
        <v>248</v>
      </c>
      <c r="B236" s="2" t="s">
        <v>439</v>
      </c>
      <c r="C236" s="2" t="s">
        <v>408</v>
      </c>
      <c r="D236" s="2"/>
      <c r="E236" s="2">
        <v>15000000</v>
      </c>
      <c r="F236" s="2">
        <f t="shared" si="9"/>
        <v>-15000000</v>
      </c>
      <c r="G236" s="2" t="str">
        <f t="shared" si="10"/>
        <v>Chi tiêu lớn</v>
      </c>
      <c r="H236" s="4">
        <v>46182</v>
      </c>
      <c r="I236" s="7">
        <f t="shared" si="11"/>
        <v>6</v>
      </c>
      <c r="J236" s="2" t="s">
        <v>6</v>
      </c>
      <c r="K236" s="2" t="s">
        <v>7</v>
      </c>
      <c r="L236" s="2" t="s">
        <v>223</v>
      </c>
    </row>
    <row r="237" spans="1:12" ht="14.25" customHeight="1" x14ac:dyDescent="0.25"/>
    <row r="238" spans="1:12" ht="14.25" customHeight="1" x14ac:dyDescent="0.25"/>
    <row r="239" spans="1:12" ht="14.25" customHeight="1" x14ac:dyDescent="0.25"/>
    <row r="240" spans="1:12"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cp:lastModifiedBy>
  <dcterms:created xsi:type="dcterms:W3CDTF">2026-01-27T01:47:44Z</dcterms:created>
  <dcterms:modified xsi:type="dcterms:W3CDTF">2026-01-29T02:27:02Z</dcterms:modified>
</cp:coreProperties>
</file>